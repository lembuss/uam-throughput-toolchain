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-Desktop\Dateien\EDDM\Input_Data\"/>
    </mc:Choice>
  </mc:AlternateContent>
  <xr:revisionPtr revIDLastSave="0" documentId="13_ncr:1_{881DE47C-36AF-43E9-873A-8E089A4B3618}" xr6:coauthVersionLast="47" xr6:coauthVersionMax="47" xr10:uidLastSave="{00000000-0000-0000-0000-000000000000}"/>
  <bookViews>
    <workbookView xWindow="-120" yWindow="-120" windowWidth="29040" windowHeight="15840" xr2:uid="{75200666-7722-4CF8-9D38-2190F9FB84D3}"/>
  </bookViews>
  <sheets>
    <sheet name="Coordinates" sheetId="1" r:id="rId1"/>
    <sheet name="Approaches" sheetId="10" r:id="rId2"/>
    <sheet name="SID 08L" sheetId="2" r:id="rId3"/>
    <sheet name="SID 08R" sheetId="5" r:id="rId4"/>
    <sheet name="SID 26L" sheetId="7" r:id="rId5"/>
    <sheet name="SID 26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0" l="1"/>
  <c r="E27" i="10" l="1"/>
  <c r="E26" i="10"/>
  <c r="E25" i="10"/>
  <c r="E24" i="10"/>
  <c r="E23" i="10"/>
  <c r="E22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3" i="8"/>
  <c r="E24" i="8"/>
  <c r="E25" i="8"/>
  <c r="E26" i="8"/>
  <c r="E27" i="8"/>
  <c r="E28" i="8"/>
  <c r="E29" i="8"/>
  <c r="E3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31" i="8"/>
  <c r="E32" i="8"/>
  <c r="E33" i="8"/>
  <c r="E34" i="8"/>
  <c r="E35" i="8"/>
  <c r="E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</calcChain>
</file>

<file path=xl/sharedStrings.xml><?xml version="1.0" encoding="utf-8"?>
<sst xmlns="http://schemas.openxmlformats.org/spreadsheetml/2006/main" count="846" uniqueCount="450">
  <si>
    <t>GIVMI 6Q (min)</t>
  </si>
  <si>
    <t>Name</t>
  </si>
  <si>
    <t>Climb Gradient</t>
  </si>
  <si>
    <t>Waypoint Name</t>
  </si>
  <si>
    <t>STD</t>
  </si>
  <si>
    <t>DM073</t>
  </si>
  <si>
    <t>MIQ</t>
  </si>
  <si>
    <t>GIVMI</t>
  </si>
  <si>
    <t>GIVMI 6Q (max)</t>
  </si>
  <si>
    <t>RIDAR 7Q (min)</t>
  </si>
  <si>
    <t>WLD</t>
  </si>
  <si>
    <t>RIDAR</t>
  </si>
  <si>
    <t>RIDAR 7Q (max)</t>
  </si>
  <si>
    <t>DME DMN 4,5</t>
  </si>
  <si>
    <t>DM071</t>
  </si>
  <si>
    <t>DM094</t>
  </si>
  <si>
    <t>LAKOL</t>
  </si>
  <si>
    <t>OBAXA</t>
  </si>
  <si>
    <t>MERSI</t>
  </si>
  <si>
    <t>ALG</t>
  </si>
  <si>
    <t>DM072</t>
  </si>
  <si>
    <t>DM090</t>
  </si>
  <si>
    <t>OTT</t>
  </si>
  <si>
    <t>OLASO</t>
  </si>
  <si>
    <t>MANAL</t>
  </si>
  <si>
    <t>TULSI</t>
  </si>
  <si>
    <t>TURBU</t>
  </si>
  <si>
    <t>RATGI</t>
  </si>
  <si>
    <t>BIBAG</t>
  </si>
  <si>
    <t>MEBEK</t>
  </si>
  <si>
    <t>KIRDI</t>
  </si>
  <si>
    <t>DM093</t>
  </si>
  <si>
    <t>DM467</t>
  </si>
  <si>
    <t>ROTAX</t>
  </si>
  <si>
    <t>VAVOR</t>
  </si>
  <si>
    <t>ANKER 9Q (min)</t>
  </si>
  <si>
    <t>DM077</t>
  </si>
  <si>
    <t>ANKER</t>
  </si>
  <si>
    <t>DM079</t>
  </si>
  <si>
    <t>ANKER 9Q (max)</t>
  </si>
  <si>
    <t>EVIVA 4Q (min)</t>
  </si>
  <si>
    <t>DM091</t>
  </si>
  <si>
    <t>DM089</t>
  </si>
  <si>
    <t>EVIVA</t>
  </si>
  <si>
    <t>INPUD 3Q (min)</t>
  </si>
  <si>
    <t>EVIVA 4Q (max)</t>
  </si>
  <si>
    <t>DM065</t>
  </si>
  <si>
    <t>INPUD</t>
  </si>
  <si>
    <t>INPUD 3Q (max)</t>
  </si>
  <si>
    <t>DM070</t>
  </si>
  <si>
    <t>AKINI 1Q</t>
  </si>
  <si>
    <t>8,0% until 1900</t>
  </si>
  <si>
    <t>DM010</t>
  </si>
  <si>
    <t>DM011</t>
  </si>
  <si>
    <t>DM013</t>
  </si>
  <si>
    <t>DM014</t>
  </si>
  <si>
    <t>DM017</t>
  </si>
  <si>
    <t>DM015</t>
  </si>
  <si>
    <t>AKINI</t>
  </si>
  <si>
    <t>DM084</t>
  </si>
  <si>
    <t>DM085</t>
  </si>
  <si>
    <t>ALG 2E</t>
  </si>
  <si>
    <t>3,8% until 3700</t>
  </si>
  <si>
    <t>DM081</t>
  </si>
  <si>
    <t>ALONU</t>
  </si>
  <si>
    <t>MERSI 2P</t>
  </si>
  <si>
    <t>DM087</t>
  </si>
  <si>
    <t>MERSI 4E</t>
  </si>
  <si>
    <t>3,8%  until 3700</t>
  </si>
  <si>
    <t>OBAXA 2P</t>
  </si>
  <si>
    <t>OLASO 2E</t>
  </si>
  <si>
    <t>TULSI 3E</t>
  </si>
  <si>
    <t>TURBU 6E</t>
  </si>
  <si>
    <t>BIBAG 2E</t>
  </si>
  <si>
    <t>DM080</t>
  </si>
  <si>
    <t>KIRDI 2E</t>
  </si>
  <si>
    <t>ROTAX 4E</t>
  </si>
  <si>
    <t>DM092</t>
  </si>
  <si>
    <t>VAVOR 3E</t>
  </si>
  <si>
    <t>DM083</t>
  </si>
  <si>
    <t>DM088</t>
  </si>
  <si>
    <t>DM076</t>
  </si>
  <si>
    <t>DM020</t>
  </si>
  <si>
    <t>DM021</t>
  </si>
  <si>
    <t>Waypoint</t>
  </si>
  <si>
    <t>Remark</t>
  </si>
  <si>
    <t>DM012 at 2,10 NM</t>
  </si>
  <si>
    <t>DM016 at 4,6 NM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</si>
  <si>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</si>
  <si>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</si>
  <si>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</si>
  <si>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</si>
  <si>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</si>
  <si>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</si>
  <si>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</si>
  <si>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</si>
  <si>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</si>
  <si>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</si>
  <si>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</si>
  <si>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</si>
  <si>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</si>
  <si>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</si>
  <si>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</si>
  <si>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</si>
  <si>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9,4% until 7000</t>
  </si>
  <si>
    <t>DM052</t>
  </si>
  <si>
    <t>DM055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</si>
  <si>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</si>
  <si>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</si>
  <si>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</si>
  <si>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</si>
  <si>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</si>
  <si>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</si>
  <si>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</si>
  <si>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</si>
  <si>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</si>
  <si>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</si>
  <si>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</si>
  <si>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</si>
  <si>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</si>
  <si>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</si>
  <si>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</si>
  <si>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</si>
  <si>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</si>
  <si>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</si>
  <si>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</si>
  <si>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</si>
  <si>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</si>
  <si>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</si>
  <si>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</si>
  <si>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</si>
  <si>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</si>
  <si>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</si>
  <si>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</si>
  <si>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</si>
  <si>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</si>
  <si>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</si>
  <si>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</si>
  <si>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</si>
  <si>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</si>
  <si>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</si>
  <si>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</si>
  <si>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</si>
  <si>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</si>
  <si>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</si>
  <si>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DM051</t>
  </si>
  <si>
    <t>DM056</t>
  </si>
  <si>
    <t>DM057</t>
  </si>
  <si>
    <t>LASMI</t>
  </si>
  <si>
    <t>DM030</t>
  </si>
  <si>
    <t>DM031</t>
  </si>
  <si>
    <t>DM043</t>
  </si>
  <si>
    <t>DM044</t>
  </si>
  <si>
    <t>EMGEP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</si>
  <si>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</si>
  <si>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</si>
  <si>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</si>
  <si>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</si>
  <si>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</si>
  <si>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</si>
  <si>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</si>
  <si>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</si>
  <si>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</si>
  <si>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</si>
  <si>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</si>
  <si>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</si>
  <si>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</si>
  <si>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</si>
  <si>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</si>
  <si>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</si>
  <si>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</si>
  <si>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</si>
  <si>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</si>
  <si>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</si>
  <si>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DM067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</si>
  <si>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</si>
  <si>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</si>
  <si>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</si>
  <si>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</si>
  <si>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</si>
  <si>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</si>
  <si>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</si>
  <si>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</si>
  <si>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</si>
  <si>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</si>
  <si>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</si>
  <si>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</si>
  <si>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</si>
  <si>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APCH 08L</t>
  </si>
  <si>
    <t>5,2%</t>
  </si>
  <si>
    <t>DM421</t>
  </si>
  <si>
    <t>DM431</t>
  </si>
  <si>
    <t>MAGAT</t>
  </si>
  <si>
    <t>APCH 08R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</si>
  <si>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</si>
  <si>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</si>
  <si>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</si>
  <si>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</si>
  <si>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</si>
  <si>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</si>
  <si>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</si>
  <si>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</si>
  <si>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</si>
  <si>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</si>
  <si>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</si>
  <si>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</si>
  <si>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</si>
  <si>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</si>
  <si>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</si>
  <si>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</si>
  <si>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</si>
  <si>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</si>
  <si>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</si>
  <si>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</si>
  <si>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</si>
  <si>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</si>
  <si>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</si>
  <si>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</si>
  <si>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</si>
  <si>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</si>
  <si>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</si>
  <si>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</si>
  <si>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</si>
  <si>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</si>
  <si>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</si>
  <si>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</si>
  <si>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</si>
  <si>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</si>
  <si>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</si>
  <si>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</si>
  <si>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</si>
  <si>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</si>
  <si>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</si>
  <si>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</si>
  <si>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</si>
  <si>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</si>
  <si>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</si>
  <si>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</si>
  <si>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</si>
  <si>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</si>
  <si>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</si>
  <si>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</si>
  <si>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</si>
  <si>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</si>
  <si>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</si>
  <si>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</si>
  <si>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</si>
  <si>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</si>
  <si>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</si>
  <si>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</si>
  <si>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</si>
  <si>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</si>
  <si>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</si>
  <si>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</si>
  <si>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</si>
  <si>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</si>
  <si>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</si>
  <si>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</si>
  <si>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</si>
  <si>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</si>
  <si>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</si>
  <si>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</si>
  <si>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</si>
  <si>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</si>
  <si>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</si>
  <si>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</si>
  <si>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</si>
  <si>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</si>
  <si>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</si>
  <si>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</si>
  <si>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</si>
  <si>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</si>
  <si>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</si>
  <si>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</si>
  <si>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</si>
  <si>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</si>
  <si>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</si>
  <si>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</si>
  <si>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</si>
  <si>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</si>
  <si>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</si>
  <si>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</si>
  <si>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</si>
  <si>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</si>
  <si>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</si>
  <si>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</si>
  <si>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</si>
  <si>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</si>
  <si>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</si>
  <si>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</si>
  <si>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</si>
  <si>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</si>
  <si>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</si>
  <si>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</si>
  <si>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</si>
  <si>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</si>
  <si>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</si>
  <si>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</si>
  <si>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</si>
  <si>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</si>
  <si>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</si>
  <si>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</si>
  <si>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</si>
  <si>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</si>
  <si>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</si>
  <si>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</si>
  <si>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</si>
  <si>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</si>
  <si>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</si>
  <si>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</si>
  <si>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</si>
  <si>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</si>
  <si>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</si>
  <si>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</si>
  <si>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</si>
  <si>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</si>
  <si>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</si>
  <si>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</si>
  <si>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</si>
  <si>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</si>
  <si>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</si>
  <si>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</si>
  <si>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</si>
  <si>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</si>
  <si>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</si>
  <si>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</si>
  <si>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</si>
  <si>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</si>
  <si>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</si>
  <si>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</si>
  <si>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</si>
  <si>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</si>
  <si>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</si>
  <si>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</si>
  <si>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</si>
  <si>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</si>
  <si>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</si>
  <si>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</si>
  <si>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</si>
  <si>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</si>
  <si>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</si>
  <si>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</si>
  <si>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</si>
  <si>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</si>
  <si>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</si>
  <si>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</si>
  <si>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</si>
  <si>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</si>
  <si>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</si>
  <si>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</si>
  <si>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</si>
  <si>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</si>
  <si>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</si>
  <si>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</si>
  <si>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</si>
  <si>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</si>
  <si>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</si>
  <si>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</si>
  <si>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</si>
  <si>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</si>
  <si>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</si>
  <si>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</si>
  <si>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</si>
  <si>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</si>
  <si>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</si>
  <si>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</si>
  <si>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</si>
  <si>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</si>
  <si>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</si>
  <si>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</si>
  <si>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</si>
  <si>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</si>
  <si>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</si>
  <si>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</si>
  <si>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</si>
  <si>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</si>
  <si>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</si>
  <si>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</si>
  <si>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</si>
  <si>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</si>
  <si>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</si>
  <si>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</si>
  <si>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</si>
  <si>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</si>
  <si>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</si>
  <si>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</si>
  <si>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</si>
  <si>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</si>
  <si>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</si>
  <si>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</si>
  <si>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</si>
  <si>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</si>
  <si>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</si>
  <si>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</si>
  <si>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</si>
  <si>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</si>
  <si>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</si>
  <si>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</si>
  <si>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</si>
  <si>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</si>
  <si>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</si>
  <si>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</si>
  <si>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</si>
  <si>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</si>
  <si>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</si>
  <si>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</si>
  <si>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</si>
  <si>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</si>
  <si>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</si>
  <si>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</si>
  <si>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</si>
  <si>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</si>
  <si>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</si>
  <si>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</si>
  <si>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</si>
  <si>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</si>
  <si>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</si>
  <si>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</si>
  <si>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</si>
  <si>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</si>
  <si>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</si>
  <si>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</si>
  <si>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</si>
  <si>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</si>
  <si>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</si>
  <si>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</si>
  <si>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</si>
  <si>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</si>
  <si>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DM431U</t>
  </si>
  <si>
    <t>MAGATU</t>
  </si>
  <si>
    <t>DM438U</t>
  </si>
  <si>
    <t>GUDEGU</t>
  </si>
  <si>
    <t>RWY 08C</t>
  </si>
  <si>
    <t>RWY 26C</t>
  </si>
  <si>
    <t>1470.0</t>
  </si>
  <si>
    <t>Altitude: 2500</t>
  </si>
  <si>
    <t>APCH 08C</t>
  </si>
  <si>
    <t>APCH 26C</t>
  </si>
  <si>
    <t>N 48 21 09,3</t>
  </si>
  <si>
    <t>E 011 46 13.6</t>
  </si>
  <si>
    <t>N 48 20 57,5</t>
  </si>
  <si>
    <t>E 011 43 40,6</t>
  </si>
  <si>
    <t>N 48 19 52.6</t>
  </si>
  <si>
    <t>E 011 29 52.8</t>
  </si>
  <si>
    <t xml:space="preserve">N 48 19 09,40 </t>
  </si>
  <si>
    <t>E 011 20 53,70</t>
  </si>
  <si>
    <t>N 48 23 16,90</t>
  </si>
  <si>
    <t>E 012 14 39,00</t>
  </si>
  <si>
    <t>N 48 22 37,70</t>
  </si>
  <si>
    <t>E 012 05 44,90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</si>
</sst>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20" totalsRowShown="0">
  <autoFilter ref="A1:E120" xr:uid="{60C2FE7E-7773-4ADC-A568-B8F8EE0AF976}"/>
  <sortState xmlns:xlrd2="http://schemas.microsoft.com/office/spreadsheetml/2017/richdata2" ref="A2:E120">
    <sortCondition ref="A1:A120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sheetPr codeName="Tabelle1"/>
  <dimension ref="A1:E120"/>
  <sheetViews>
    <sheetView tabSelected="1" topLeftCell="A67" workbookViewId="0">
      <selection activeCell="C28" sqref="C28"/>
    </sheetView>
  </sheetViews>
  <sheetFormatPr baseColWidth="10" defaultColWidth="9.140625" defaultRowHeight="15" x14ac:dyDescent="0.25"/>
  <cols>
    <col min="1" max="1" width="11.7109375" customWidth="1"/>
    <col min="2" max="2" width="17.85546875" customWidth="1"/>
    <col min="3" max="3" width="17.5703125" customWidth="1"/>
    <col min="4" max="4" width="15.5703125" customWidth="1"/>
    <col min="5" max="5" width="61.85546875" customWidth="1"/>
  </cols>
  <sheetData>
    <row r="1" spans="1:5" x14ac:dyDescent="0.25">
      <c r="A1" t="s">
        <v>84</v>
      </c>
      <c r="B1" t="s">
        <v>426</v>
      </c>
      <c r="C1" t="s">
        <v>427</v>
      </c>
      <c r="D1" t="s">
        <v>160</v>
      </c>
      <c r="E1" t="s">
        <v>100</v>
      </c>
    </row>
    <row r="2" spans="1:5" x14ac:dyDescent="0.25">
      <c r="A2" t="s">
        <v>94</v>
      </c>
      <c r="B2" t="s">
        <v>205</v>
      </c>
      <c r="C2" t="s">
        <v>206</v>
      </c>
    </row>
    <row r="3" spans="1:5" x14ac:dyDescent="0.25">
      <c r="A3" t="s">
        <v>58</v>
      </c>
      <c r="B3" t="s">
        <v>207</v>
      </c>
      <c r="C3" t="s">
        <v>208</v>
      </c>
    </row>
    <row r="4" spans="1:5" x14ac:dyDescent="0.25">
      <c r="A4" t="s">
        <v>19</v>
      </c>
      <c r="B4" t="s">
        <v>209</v>
      </c>
      <c r="C4" t="s">
        <v>210</v>
      </c>
    </row>
    <row r="5" spans="1:5" x14ac:dyDescent="0.25">
      <c r="A5" t="s">
        <v>64</v>
      </c>
      <c r="B5" t="s">
        <v>211</v>
      </c>
      <c r="C5" t="s">
        <v>212</v>
      </c>
    </row>
    <row r="6" spans="1:5" x14ac:dyDescent="0.25">
      <c r="A6" t="s">
        <v>117</v>
      </c>
      <c r="B6" t="s">
        <v>213</v>
      </c>
      <c r="C6" t="s">
        <v>214</v>
      </c>
    </row>
    <row r="7" spans="1:5" x14ac:dyDescent="0.25">
      <c r="A7" t="s">
        <v>115</v>
      </c>
      <c r="B7" t="s">
        <v>215</v>
      </c>
      <c r="C7" t="s">
        <v>216</v>
      </c>
    </row>
    <row r="8" spans="1:5" x14ac:dyDescent="0.25">
      <c r="A8" t="s">
        <v>37</v>
      </c>
      <c r="B8" t="s">
        <v>217</v>
      </c>
      <c r="C8" t="s">
        <v>218</v>
      </c>
    </row>
    <row r="9" spans="1:5" x14ac:dyDescent="0.25">
      <c r="A9" t="s">
        <v>196</v>
      </c>
      <c r="B9" t="s">
        <v>410</v>
      </c>
      <c r="C9" t="s">
        <v>411</v>
      </c>
    </row>
    <row r="10" spans="1:5" x14ac:dyDescent="0.25">
      <c r="A10" t="s">
        <v>28</v>
      </c>
      <c r="B10" t="s">
        <v>219</v>
      </c>
      <c r="C10" t="s">
        <v>220</v>
      </c>
    </row>
    <row r="11" spans="1:5" x14ac:dyDescent="0.25">
      <c r="A11" t="s">
        <v>52</v>
      </c>
      <c r="B11" t="s">
        <v>221</v>
      </c>
      <c r="C11" t="s">
        <v>222</v>
      </c>
    </row>
    <row r="12" spans="1:5" x14ac:dyDescent="0.25">
      <c r="A12" t="s">
        <v>53</v>
      </c>
      <c r="B12" t="s">
        <v>223</v>
      </c>
      <c r="C12" t="s">
        <v>224</v>
      </c>
    </row>
    <row r="13" spans="1:5" x14ac:dyDescent="0.25">
      <c r="A13" t="s">
        <v>88</v>
      </c>
      <c r="B13" t="s">
        <v>225</v>
      </c>
      <c r="C13" t="s">
        <v>226</v>
      </c>
    </row>
    <row r="14" spans="1:5" x14ac:dyDescent="0.25">
      <c r="A14" t="s">
        <v>54</v>
      </c>
      <c r="B14" t="s">
        <v>227</v>
      </c>
      <c r="C14" t="s">
        <v>228</v>
      </c>
    </row>
    <row r="15" spans="1:5" x14ac:dyDescent="0.25">
      <c r="A15" t="s">
        <v>55</v>
      </c>
      <c r="B15" t="s">
        <v>229</v>
      </c>
      <c r="C15" t="s">
        <v>230</v>
      </c>
    </row>
    <row r="16" spans="1:5" x14ac:dyDescent="0.25">
      <c r="A16" t="s">
        <v>57</v>
      </c>
      <c r="B16" t="s">
        <v>231</v>
      </c>
      <c r="C16" t="s">
        <v>232</v>
      </c>
    </row>
    <row r="17" spans="1:5" x14ac:dyDescent="0.25">
      <c r="A17" t="s">
        <v>89</v>
      </c>
      <c r="B17" t="s">
        <v>233</v>
      </c>
      <c r="C17" t="s">
        <v>234</v>
      </c>
    </row>
    <row r="18" spans="1:5" x14ac:dyDescent="0.25">
      <c r="A18" t="s">
        <v>56</v>
      </c>
      <c r="B18" t="s">
        <v>235</v>
      </c>
      <c r="C18" t="s">
        <v>236</v>
      </c>
    </row>
    <row r="19" spans="1:5" x14ac:dyDescent="0.25">
      <c r="A19" t="s">
        <v>56</v>
      </c>
      <c r="B19" t="s">
        <v>235</v>
      </c>
      <c r="C19" t="s">
        <v>236</v>
      </c>
    </row>
    <row r="20" spans="1:5" x14ac:dyDescent="0.25">
      <c r="A20" t="s">
        <v>82</v>
      </c>
      <c r="B20" t="s">
        <v>237</v>
      </c>
      <c r="C20" t="s">
        <v>238</v>
      </c>
    </row>
    <row r="21" spans="1:5" x14ac:dyDescent="0.25">
      <c r="A21" t="s">
        <v>83</v>
      </c>
      <c r="B21" t="s">
        <v>239</v>
      </c>
      <c r="C21" t="s">
        <v>240</v>
      </c>
    </row>
    <row r="22" spans="1:5" x14ac:dyDescent="0.25">
      <c r="A22" t="s">
        <v>149</v>
      </c>
      <c r="B22" t="s">
        <v>241</v>
      </c>
      <c r="C22" t="s">
        <v>242</v>
      </c>
    </row>
    <row r="23" spans="1:5" x14ac:dyDescent="0.25">
      <c r="A23" t="s">
        <v>150</v>
      </c>
      <c r="B23" t="s">
        <v>243</v>
      </c>
      <c r="C23" t="s">
        <v>244</v>
      </c>
    </row>
    <row r="24" spans="1:5" x14ac:dyDescent="0.25">
      <c r="A24" t="s">
        <v>155</v>
      </c>
      <c r="B24" t="s">
        <v>245</v>
      </c>
      <c r="C24" t="s">
        <v>246</v>
      </c>
    </row>
    <row r="25" spans="1:5" x14ac:dyDescent="0.25">
      <c r="A25" t="s">
        <v>181</v>
      </c>
      <c r="B25" t="s">
        <v>379</v>
      </c>
      <c r="C25" t="s">
        <v>380</v>
      </c>
    </row>
    <row r="26" spans="1:5" x14ac:dyDescent="0.25">
      <c r="A26" t="s">
        <v>182</v>
      </c>
      <c r="B26" t="s">
        <v>381</v>
      </c>
      <c r="C26" t="s">
        <v>382</v>
      </c>
    </row>
    <row r="27" spans="1:5" x14ac:dyDescent="0.25">
      <c r="A27" t="s">
        <v>184</v>
      </c>
      <c r="B27" t="s">
        <v>383</v>
      </c>
      <c r="C27" t="s">
        <v>384</v>
      </c>
    </row>
    <row r="28" spans="1:5" x14ac:dyDescent="0.25">
      <c r="A28" t="s">
        <v>151</v>
      </c>
      <c r="B28" t="s">
        <v>247</v>
      </c>
      <c r="C28" t="s">
        <v>248</v>
      </c>
    </row>
    <row r="29" spans="1:5" x14ac:dyDescent="0.25">
      <c r="A29" t="s">
        <v>152</v>
      </c>
      <c r="B29" t="s">
        <v>249</v>
      </c>
      <c r="C29" t="s">
        <v>250</v>
      </c>
    </row>
    <row r="30" spans="1:5" x14ac:dyDescent="0.25">
      <c r="A30" t="s">
        <v>156</v>
      </c>
      <c r="B30" t="s">
        <v>251</v>
      </c>
      <c r="C30" t="s">
        <v>252</v>
      </c>
    </row>
    <row r="31" spans="1:5" x14ac:dyDescent="0.25">
      <c r="A31" t="s">
        <v>129</v>
      </c>
      <c r="B31" t="s">
        <v>253</v>
      </c>
      <c r="C31" t="s">
        <v>254</v>
      </c>
      <c r="E31" t="s">
        <v>159</v>
      </c>
    </row>
    <row r="32" spans="1:5" x14ac:dyDescent="0.25">
      <c r="A32" t="s">
        <v>119</v>
      </c>
      <c r="B32" t="s">
        <v>255</v>
      </c>
      <c r="C32" t="s">
        <v>256</v>
      </c>
    </row>
    <row r="33" spans="1:5" x14ac:dyDescent="0.25">
      <c r="A33" t="s">
        <v>124</v>
      </c>
      <c r="B33" t="s">
        <v>257</v>
      </c>
      <c r="C33" t="s">
        <v>258</v>
      </c>
    </row>
    <row r="34" spans="1:5" x14ac:dyDescent="0.25">
      <c r="A34" t="s">
        <v>145</v>
      </c>
      <c r="B34" t="s">
        <v>259</v>
      </c>
      <c r="C34" t="s">
        <v>260</v>
      </c>
    </row>
    <row r="35" spans="1:5" x14ac:dyDescent="0.25">
      <c r="A35" t="s">
        <v>105</v>
      </c>
      <c r="B35" t="s">
        <v>261</v>
      </c>
      <c r="C35" t="s">
        <v>262</v>
      </c>
    </row>
    <row r="36" spans="1:5" x14ac:dyDescent="0.25">
      <c r="A36" t="s">
        <v>107</v>
      </c>
      <c r="B36" t="s">
        <v>263</v>
      </c>
      <c r="C36" t="s">
        <v>264</v>
      </c>
      <c r="E36" t="s">
        <v>157</v>
      </c>
    </row>
    <row r="37" spans="1:5" x14ac:dyDescent="0.25">
      <c r="A37" t="s">
        <v>108</v>
      </c>
      <c r="B37" t="s">
        <v>265</v>
      </c>
      <c r="C37" t="s">
        <v>266</v>
      </c>
    </row>
    <row r="38" spans="1:5" x14ac:dyDescent="0.25">
      <c r="A38" t="s">
        <v>106</v>
      </c>
      <c r="B38" t="s">
        <v>267</v>
      </c>
      <c r="C38" t="s">
        <v>268</v>
      </c>
    </row>
    <row r="39" spans="1:5" x14ac:dyDescent="0.25">
      <c r="A39" t="s">
        <v>146</v>
      </c>
      <c r="B39" t="s">
        <v>269</v>
      </c>
      <c r="C39" t="s">
        <v>270</v>
      </c>
    </row>
    <row r="40" spans="1:5" x14ac:dyDescent="0.25">
      <c r="A40" t="s">
        <v>147</v>
      </c>
      <c r="B40" t="s">
        <v>271</v>
      </c>
      <c r="C40" t="s">
        <v>272</v>
      </c>
    </row>
    <row r="41" spans="1:5" x14ac:dyDescent="0.25">
      <c r="A41" t="s">
        <v>128</v>
      </c>
      <c r="B41" t="s">
        <v>273</v>
      </c>
      <c r="C41" t="s">
        <v>274</v>
      </c>
      <c r="E41" t="s">
        <v>158</v>
      </c>
    </row>
    <row r="42" spans="1:5" x14ac:dyDescent="0.25">
      <c r="A42" t="s">
        <v>166</v>
      </c>
      <c r="B42" t="s">
        <v>385</v>
      </c>
      <c r="C42" t="s">
        <v>386</v>
      </c>
      <c r="E42" t="s">
        <v>187</v>
      </c>
    </row>
    <row r="43" spans="1:5" x14ac:dyDescent="0.25">
      <c r="A43" t="s">
        <v>172</v>
      </c>
      <c r="B43" t="s">
        <v>387</v>
      </c>
      <c r="C43" t="s">
        <v>388</v>
      </c>
    </row>
    <row r="44" spans="1:5" x14ac:dyDescent="0.25">
      <c r="A44" t="s">
        <v>173</v>
      </c>
      <c r="B44" t="s">
        <v>389</v>
      </c>
      <c r="C44" t="s">
        <v>390</v>
      </c>
    </row>
    <row r="45" spans="1:5" x14ac:dyDescent="0.25">
      <c r="A45" t="s">
        <v>167</v>
      </c>
      <c r="B45" t="s">
        <v>391</v>
      </c>
      <c r="C45" t="s">
        <v>392</v>
      </c>
    </row>
    <row r="46" spans="1:5" x14ac:dyDescent="0.25">
      <c r="A46" t="s">
        <v>177</v>
      </c>
      <c r="B46" t="s">
        <v>393</v>
      </c>
      <c r="C46" t="s">
        <v>394</v>
      </c>
    </row>
    <row r="47" spans="1:5" x14ac:dyDescent="0.25">
      <c r="A47" t="s">
        <v>46</v>
      </c>
      <c r="B47" t="s">
        <v>275</v>
      </c>
      <c r="C47" t="s">
        <v>276</v>
      </c>
    </row>
    <row r="48" spans="1:5" x14ac:dyDescent="0.25">
      <c r="A48" t="s">
        <v>176</v>
      </c>
      <c r="B48" t="s">
        <v>395</v>
      </c>
      <c r="C48" t="s">
        <v>396</v>
      </c>
    </row>
    <row r="49" spans="1:5" x14ac:dyDescent="0.25">
      <c r="A49" t="s">
        <v>174</v>
      </c>
      <c r="B49" t="s">
        <v>399</v>
      </c>
      <c r="C49" t="s">
        <v>400</v>
      </c>
    </row>
    <row r="50" spans="1:5" x14ac:dyDescent="0.25">
      <c r="A50" t="s">
        <v>120</v>
      </c>
      <c r="B50" t="s">
        <v>277</v>
      </c>
      <c r="C50" t="s">
        <v>278</v>
      </c>
    </row>
    <row r="51" spans="1:5" x14ac:dyDescent="0.25">
      <c r="A51" t="s">
        <v>121</v>
      </c>
      <c r="B51" t="s">
        <v>279</v>
      </c>
      <c r="C51" t="s">
        <v>280</v>
      </c>
    </row>
    <row r="52" spans="1:5" x14ac:dyDescent="0.25">
      <c r="A52" t="s">
        <v>49</v>
      </c>
      <c r="B52" t="s">
        <v>281</v>
      </c>
      <c r="C52" t="s">
        <v>282</v>
      </c>
    </row>
    <row r="53" spans="1:5" x14ac:dyDescent="0.25">
      <c r="A53" t="s">
        <v>14</v>
      </c>
      <c r="B53" t="s">
        <v>283</v>
      </c>
      <c r="C53" t="s">
        <v>284</v>
      </c>
    </row>
    <row r="54" spans="1:5" x14ac:dyDescent="0.25">
      <c r="A54" t="s">
        <v>20</v>
      </c>
      <c r="B54" t="s">
        <v>285</v>
      </c>
      <c r="C54" t="s">
        <v>286</v>
      </c>
      <c r="E54" t="s">
        <v>103</v>
      </c>
    </row>
    <row r="55" spans="1:5" x14ac:dyDescent="0.25">
      <c r="A55" t="s">
        <v>5</v>
      </c>
      <c r="B55" t="s">
        <v>287</v>
      </c>
      <c r="C55" t="s">
        <v>288</v>
      </c>
    </row>
    <row r="56" spans="1:5" x14ac:dyDescent="0.25">
      <c r="A56" t="s">
        <v>81</v>
      </c>
      <c r="B56" t="s">
        <v>289</v>
      </c>
      <c r="C56" t="s">
        <v>290</v>
      </c>
    </row>
    <row r="57" spans="1:5" x14ac:dyDescent="0.25">
      <c r="A57" t="s">
        <v>36</v>
      </c>
      <c r="B57" t="s">
        <v>227</v>
      </c>
      <c r="C57" t="s">
        <v>228</v>
      </c>
    </row>
    <row r="58" spans="1:5" x14ac:dyDescent="0.25">
      <c r="A58" t="s">
        <v>38</v>
      </c>
      <c r="B58" t="s">
        <v>291</v>
      </c>
      <c r="C58" t="s">
        <v>292</v>
      </c>
    </row>
    <row r="59" spans="1:5" x14ac:dyDescent="0.25">
      <c r="A59" t="s">
        <v>74</v>
      </c>
      <c r="B59" t="s">
        <v>293</v>
      </c>
      <c r="C59" t="s">
        <v>294</v>
      </c>
    </row>
    <row r="60" spans="1:5" x14ac:dyDescent="0.25">
      <c r="A60" t="s">
        <v>63</v>
      </c>
      <c r="B60" t="s">
        <v>295</v>
      </c>
      <c r="C60" t="s">
        <v>296</v>
      </c>
    </row>
    <row r="61" spans="1:5" x14ac:dyDescent="0.25">
      <c r="A61" t="s">
        <v>79</v>
      </c>
      <c r="B61" t="s">
        <v>297</v>
      </c>
      <c r="C61" t="s">
        <v>298</v>
      </c>
    </row>
    <row r="62" spans="1:5" x14ac:dyDescent="0.25">
      <c r="A62" t="s">
        <v>59</v>
      </c>
      <c r="B62" t="s">
        <v>299</v>
      </c>
      <c r="C62" t="s">
        <v>300</v>
      </c>
    </row>
    <row r="63" spans="1:5" x14ac:dyDescent="0.25">
      <c r="A63" t="s">
        <v>60</v>
      </c>
      <c r="B63" t="s">
        <v>301</v>
      </c>
      <c r="C63" t="s">
        <v>302</v>
      </c>
    </row>
    <row r="64" spans="1:5" x14ac:dyDescent="0.25">
      <c r="A64" t="s">
        <v>66</v>
      </c>
      <c r="B64" t="s">
        <v>303</v>
      </c>
      <c r="C64" t="s">
        <v>304</v>
      </c>
      <c r="E64" t="s">
        <v>102</v>
      </c>
    </row>
    <row r="65" spans="1:5" x14ac:dyDescent="0.25">
      <c r="A65" t="s">
        <v>80</v>
      </c>
      <c r="B65" t="s">
        <v>305</v>
      </c>
      <c r="C65" t="s">
        <v>306</v>
      </c>
    </row>
    <row r="66" spans="1:5" x14ac:dyDescent="0.25">
      <c r="A66" t="s">
        <v>42</v>
      </c>
      <c r="B66" t="s">
        <v>307</v>
      </c>
      <c r="C66" t="s">
        <v>308</v>
      </c>
    </row>
    <row r="67" spans="1:5" x14ac:dyDescent="0.25">
      <c r="A67" t="s">
        <v>21</v>
      </c>
      <c r="B67" t="s">
        <v>309</v>
      </c>
      <c r="C67" t="s">
        <v>310</v>
      </c>
      <c r="E67" t="s">
        <v>101</v>
      </c>
    </row>
    <row r="68" spans="1:5" x14ac:dyDescent="0.25">
      <c r="A68" t="s">
        <v>41</v>
      </c>
      <c r="B68" t="s">
        <v>311</v>
      </c>
      <c r="C68" t="s">
        <v>312</v>
      </c>
    </row>
    <row r="69" spans="1:5" x14ac:dyDescent="0.25">
      <c r="A69" t="s">
        <v>77</v>
      </c>
      <c r="B69" t="s">
        <v>313</v>
      </c>
      <c r="C69" t="s">
        <v>314</v>
      </c>
    </row>
    <row r="70" spans="1:5" x14ac:dyDescent="0.25">
      <c r="A70" t="s">
        <v>31</v>
      </c>
      <c r="B70" t="s">
        <v>315</v>
      </c>
      <c r="C70" t="s">
        <v>316</v>
      </c>
    </row>
    <row r="71" spans="1:5" x14ac:dyDescent="0.25">
      <c r="A71" t="s">
        <v>15</v>
      </c>
      <c r="B71" t="s">
        <v>317</v>
      </c>
      <c r="C71" t="s">
        <v>318</v>
      </c>
    </row>
    <row r="72" spans="1:5" x14ac:dyDescent="0.25">
      <c r="A72" t="s">
        <v>190</v>
      </c>
      <c r="B72" t="s">
        <v>401</v>
      </c>
      <c r="C72" t="s">
        <v>402</v>
      </c>
    </row>
    <row r="73" spans="1:5" x14ac:dyDescent="0.25">
      <c r="A73" t="s">
        <v>202</v>
      </c>
      <c r="B73" t="s">
        <v>418</v>
      </c>
      <c r="C73" t="s">
        <v>419</v>
      </c>
    </row>
    <row r="74" spans="1:5" x14ac:dyDescent="0.25">
      <c r="A74" t="s">
        <v>191</v>
      </c>
      <c r="B74" t="s">
        <v>403</v>
      </c>
      <c r="C74" t="s">
        <v>404</v>
      </c>
    </row>
    <row r="75" spans="1:5" x14ac:dyDescent="0.25">
      <c r="A75" t="s">
        <v>428</v>
      </c>
      <c r="B75" t="s">
        <v>444</v>
      </c>
      <c r="C75" t="s">
        <v>445</v>
      </c>
    </row>
    <row r="76" spans="1:5" x14ac:dyDescent="0.25">
      <c r="A76" t="s">
        <v>203</v>
      </c>
      <c r="B76" t="s">
        <v>420</v>
      </c>
      <c r="C76" t="s">
        <v>421</v>
      </c>
    </row>
    <row r="77" spans="1:5" x14ac:dyDescent="0.25">
      <c r="A77" t="s">
        <v>430</v>
      </c>
      <c r="B77" t="s">
        <v>446</v>
      </c>
      <c r="C77" t="s">
        <v>447</v>
      </c>
    </row>
    <row r="78" spans="1:5" x14ac:dyDescent="0.25">
      <c r="A78" t="s">
        <v>195</v>
      </c>
      <c r="B78" t="s">
        <v>408</v>
      </c>
      <c r="C78" t="s">
        <v>409</v>
      </c>
    </row>
    <row r="79" spans="1:5" x14ac:dyDescent="0.25">
      <c r="A79" t="s">
        <v>199</v>
      </c>
      <c r="B79" t="s">
        <v>414</v>
      </c>
      <c r="C79" t="s">
        <v>415</v>
      </c>
    </row>
    <row r="80" spans="1:5" x14ac:dyDescent="0.25">
      <c r="A80" t="s">
        <v>194</v>
      </c>
      <c r="B80" t="s">
        <v>406</v>
      </c>
      <c r="C80" t="s">
        <v>407</v>
      </c>
    </row>
    <row r="81" spans="1:3" x14ac:dyDescent="0.25">
      <c r="A81" t="s">
        <v>198</v>
      </c>
      <c r="B81" t="s">
        <v>412</v>
      </c>
      <c r="C81" t="s">
        <v>413</v>
      </c>
    </row>
    <row r="82" spans="1:3" x14ac:dyDescent="0.25">
      <c r="A82" t="s">
        <v>32</v>
      </c>
      <c r="B82" t="s">
        <v>319</v>
      </c>
      <c r="C82" t="s">
        <v>320</v>
      </c>
    </row>
    <row r="83" spans="1:3" x14ac:dyDescent="0.25">
      <c r="A83" t="s">
        <v>91</v>
      </c>
      <c r="B83" t="s">
        <v>321</v>
      </c>
      <c r="C83" t="s">
        <v>322</v>
      </c>
    </row>
    <row r="84" spans="1:3" x14ac:dyDescent="0.25">
      <c r="A84" t="s">
        <v>90</v>
      </c>
      <c r="B84" t="s">
        <v>323</v>
      </c>
      <c r="C84" t="s">
        <v>324</v>
      </c>
    </row>
    <row r="85" spans="1:3" x14ac:dyDescent="0.25">
      <c r="A85" t="s">
        <v>93</v>
      </c>
      <c r="B85" t="s">
        <v>325</v>
      </c>
      <c r="C85" t="s">
        <v>326</v>
      </c>
    </row>
    <row r="86" spans="1:3" x14ac:dyDescent="0.25">
      <c r="A86" t="s">
        <v>153</v>
      </c>
      <c r="B86" t="s">
        <v>327</v>
      </c>
      <c r="C86" t="s">
        <v>328</v>
      </c>
    </row>
    <row r="87" spans="1:3" x14ac:dyDescent="0.25">
      <c r="A87" t="s">
        <v>43</v>
      </c>
      <c r="B87" t="s">
        <v>329</v>
      </c>
      <c r="C87" t="s">
        <v>330</v>
      </c>
    </row>
    <row r="88" spans="1:3" x14ac:dyDescent="0.25">
      <c r="A88" t="s">
        <v>7</v>
      </c>
      <c r="B88" t="s">
        <v>331</v>
      </c>
      <c r="C88" t="s">
        <v>332</v>
      </c>
    </row>
    <row r="89" spans="1:3" x14ac:dyDescent="0.25">
      <c r="A89" t="s">
        <v>204</v>
      </c>
      <c r="B89" t="s">
        <v>422</v>
      </c>
      <c r="C89" t="s">
        <v>423</v>
      </c>
    </row>
    <row r="90" spans="1:3" x14ac:dyDescent="0.25">
      <c r="A90" t="s">
        <v>431</v>
      </c>
      <c r="B90" t="s">
        <v>448</v>
      </c>
      <c r="C90" t="s">
        <v>449</v>
      </c>
    </row>
    <row r="91" spans="1:3" x14ac:dyDescent="0.25">
      <c r="A91" t="s">
        <v>47</v>
      </c>
      <c r="B91" t="s">
        <v>333</v>
      </c>
      <c r="C91" t="s">
        <v>334</v>
      </c>
    </row>
    <row r="92" spans="1:3" x14ac:dyDescent="0.25">
      <c r="A92" t="s">
        <v>30</v>
      </c>
      <c r="B92" t="s">
        <v>335</v>
      </c>
      <c r="C92" t="s">
        <v>336</v>
      </c>
    </row>
    <row r="93" spans="1:3" x14ac:dyDescent="0.25">
      <c r="A93" t="s">
        <v>16</v>
      </c>
      <c r="B93" t="s">
        <v>337</v>
      </c>
      <c r="C93" t="s">
        <v>338</v>
      </c>
    </row>
    <row r="94" spans="1:3" x14ac:dyDescent="0.25">
      <c r="A94" t="s">
        <v>148</v>
      </c>
      <c r="B94" t="s">
        <v>339</v>
      </c>
      <c r="C94" t="s">
        <v>340</v>
      </c>
    </row>
    <row r="95" spans="1:3" x14ac:dyDescent="0.25">
      <c r="A95" t="s">
        <v>192</v>
      </c>
      <c r="B95" t="s">
        <v>405</v>
      </c>
      <c r="C95" t="s">
        <v>424</v>
      </c>
    </row>
    <row r="96" spans="1:3" x14ac:dyDescent="0.25">
      <c r="A96" t="s">
        <v>429</v>
      </c>
      <c r="B96" t="s">
        <v>442</v>
      </c>
      <c r="C96" t="s">
        <v>443</v>
      </c>
    </row>
    <row r="97" spans="1:5" x14ac:dyDescent="0.25">
      <c r="A97" t="s">
        <v>92</v>
      </c>
      <c r="B97" t="s">
        <v>341</v>
      </c>
      <c r="C97" t="s">
        <v>342</v>
      </c>
    </row>
    <row r="98" spans="1:5" x14ac:dyDescent="0.25">
      <c r="A98" t="s">
        <v>24</v>
      </c>
      <c r="B98" t="s">
        <v>343</v>
      </c>
      <c r="C98" t="s">
        <v>344</v>
      </c>
    </row>
    <row r="99" spans="1:5" x14ac:dyDescent="0.25">
      <c r="A99" t="s">
        <v>29</v>
      </c>
      <c r="B99" t="s">
        <v>345</v>
      </c>
      <c r="C99" t="s">
        <v>346</v>
      </c>
    </row>
    <row r="100" spans="1:5" x14ac:dyDescent="0.25">
      <c r="A100" t="s">
        <v>18</v>
      </c>
      <c r="B100" t="s">
        <v>347</v>
      </c>
      <c r="C100" t="s">
        <v>348</v>
      </c>
    </row>
    <row r="101" spans="1:5" x14ac:dyDescent="0.25">
      <c r="A101" t="s">
        <v>6</v>
      </c>
      <c r="B101" t="s">
        <v>275</v>
      </c>
      <c r="C101" t="s">
        <v>276</v>
      </c>
    </row>
    <row r="102" spans="1:5" x14ac:dyDescent="0.25">
      <c r="A102" t="s">
        <v>171</v>
      </c>
      <c r="B102" t="s">
        <v>397</v>
      </c>
      <c r="C102" t="s">
        <v>398</v>
      </c>
      <c r="E102" t="s">
        <v>186</v>
      </c>
    </row>
    <row r="103" spans="1:5" x14ac:dyDescent="0.25">
      <c r="A103" t="s">
        <v>112</v>
      </c>
      <c r="B103" t="s">
        <v>349</v>
      </c>
      <c r="C103" t="s">
        <v>350</v>
      </c>
      <c r="E103" t="s">
        <v>185</v>
      </c>
    </row>
    <row r="104" spans="1:5" x14ac:dyDescent="0.25">
      <c r="A104" t="s">
        <v>200</v>
      </c>
      <c r="B104" t="s">
        <v>416</v>
      </c>
      <c r="C104" t="s">
        <v>417</v>
      </c>
    </row>
    <row r="105" spans="1:5" x14ac:dyDescent="0.25">
      <c r="A105" t="s">
        <v>17</v>
      </c>
      <c r="B105" t="s">
        <v>351</v>
      </c>
      <c r="C105" t="s">
        <v>352</v>
      </c>
    </row>
    <row r="106" spans="1:5" x14ac:dyDescent="0.25">
      <c r="A106" t="s">
        <v>23</v>
      </c>
      <c r="B106" t="s">
        <v>353</v>
      </c>
      <c r="C106" t="s">
        <v>354</v>
      </c>
    </row>
    <row r="107" spans="1:5" x14ac:dyDescent="0.25">
      <c r="A107" t="s">
        <v>22</v>
      </c>
      <c r="B107" t="s">
        <v>355</v>
      </c>
      <c r="C107" t="s">
        <v>356</v>
      </c>
    </row>
    <row r="108" spans="1:5" x14ac:dyDescent="0.25">
      <c r="A108" t="s">
        <v>27</v>
      </c>
      <c r="B108" t="s">
        <v>357</v>
      </c>
      <c r="C108" t="s">
        <v>358</v>
      </c>
    </row>
    <row r="109" spans="1:5" x14ac:dyDescent="0.25">
      <c r="A109" t="s">
        <v>11</v>
      </c>
      <c r="B109" t="s">
        <v>359</v>
      </c>
      <c r="C109" t="s">
        <v>360</v>
      </c>
    </row>
    <row r="110" spans="1:5" x14ac:dyDescent="0.25">
      <c r="A110" t="s">
        <v>33</v>
      </c>
      <c r="B110" t="s">
        <v>361</v>
      </c>
      <c r="C110" t="s">
        <v>362</v>
      </c>
    </row>
    <row r="111" spans="1:5" x14ac:dyDescent="0.25">
      <c r="A111" t="s">
        <v>95</v>
      </c>
      <c r="B111" t="s">
        <v>363</v>
      </c>
      <c r="C111" t="s">
        <v>364</v>
      </c>
      <c r="D111" t="s">
        <v>161</v>
      </c>
    </row>
    <row r="112" spans="1:5" x14ac:dyDescent="0.25">
      <c r="A112" t="s">
        <v>98</v>
      </c>
      <c r="B112" t="s">
        <v>365</v>
      </c>
      <c r="C112" t="s">
        <v>366</v>
      </c>
      <c r="D112" t="s">
        <v>162</v>
      </c>
    </row>
    <row r="113" spans="1:4" x14ac:dyDescent="0.25">
      <c r="A113" t="s">
        <v>97</v>
      </c>
      <c r="B113" t="s">
        <v>367</v>
      </c>
      <c r="C113" t="s">
        <v>368</v>
      </c>
      <c r="D113" t="s">
        <v>163</v>
      </c>
    </row>
    <row r="114" spans="1:4" x14ac:dyDescent="0.25">
      <c r="A114" t="s">
        <v>96</v>
      </c>
      <c r="B114" t="s">
        <v>369</v>
      </c>
      <c r="C114" t="s">
        <v>370</v>
      </c>
      <c r="D114" t="s">
        <v>164</v>
      </c>
    </row>
    <row r="115" spans="1:4" x14ac:dyDescent="0.25">
      <c r="A115" t="s">
        <v>432</v>
      </c>
      <c r="B115" t="s">
        <v>440</v>
      </c>
      <c r="C115" t="s">
        <v>441</v>
      </c>
      <c r="D115" s="4" t="s">
        <v>434</v>
      </c>
    </row>
    <row r="116" spans="1:4" x14ac:dyDescent="0.25">
      <c r="A116" t="s">
        <v>433</v>
      </c>
      <c r="B116" t="s">
        <v>438</v>
      </c>
      <c r="C116" t="s">
        <v>439</v>
      </c>
      <c r="D116" s="4" t="s">
        <v>434</v>
      </c>
    </row>
    <row r="117" spans="1:4" x14ac:dyDescent="0.25">
      <c r="A117" t="s">
        <v>25</v>
      </c>
      <c r="B117" t="s">
        <v>371</v>
      </c>
      <c r="C117" t="s">
        <v>372</v>
      </c>
    </row>
    <row r="118" spans="1:4" x14ac:dyDescent="0.25">
      <c r="A118" t="s">
        <v>26</v>
      </c>
      <c r="B118" t="s">
        <v>373</v>
      </c>
      <c r="C118" t="s">
        <v>374</v>
      </c>
    </row>
    <row r="119" spans="1:4" x14ac:dyDescent="0.25">
      <c r="A119" t="s">
        <v>34</v>
      </c>
      <c r="B119" t="s">
        <v>375</v>
      </c>
      <c r="C119" t="s">
        <v>376</v>
      </c>
    </row>
    <row r="120" spans="1:4" x14ac:dyDescent="0.25">
      <c r="A120" t="s">
        <v>10</v>
      </c>
      <c r="B120" t="s">
        <v>377</v>
      </c>
      <c r="C120" t="s">
        <v>378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sheetPr codeName="Tabelle2"/>
  <dimension ref="A1:F129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3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s="3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188</v>
      </c>
      <c r="B2" s="3" t="s">
        <v>189</v>
      </c>
      <c r="C2" t="s">
        <v>6</v>
      </c>
      <c r="D2" t="s">
        <v>425</v>
      </c>
      <c r="E2">
        <f>MATCH(C2,Coordinates!$A$2:$A$120,0)</f>
        <v>100</v>
      </c>
    </row>
    <row r="3" spans="1:5" x14ac:dyDescent="0.25">
      <c r="C3" t="s">
        <v>190</v>
      </c>
      <c r="E3">
        <f>MATCH(C3,Coordinates!$A$2:$A$120,0)</f>
        <v>71</v>
      </c>
    </row>
    <row r="4" spans="1:5" x14ac:dyDescent="0.25">
      <c r="C4" t="s">
        <v>191</v>
      </c>
      <c r="E4">
        <f>MATCH(C4,Coordinates!$A$2:$A$120,0)</f>
        <v>73</v>
      </c>
    </row>
    <row r="5" spans="1:5" x14ac:dyDescent="0.25">
      <c r="C5" t="s">
        <v>192</v>
      </c>
      <c r="E5">
        <f>MATCH(C5,Coordinates!$A$2:$A$120,0)</f>
        <v>94</v>
      </c>
    </row>
    <row r="6" spans="1:5" ht="17.25" customHeight="1" x14ac:dyDescent="0.25">
      <c r="C6" t="s">
        <v>95</v>
      </c>
      <c r="E6">
        <f>MATCH(C6,Coordinates!$A$2:$A$120,0)</f>
        <v>110</v>
      </c>
    </row>
    <row r="7" spans="1:5" x14ac:dyDescent="0.25">
      <c r="A7" t="s">
        <v>193</v>
      </c>
      <c r="B7" s="3" t="s">
        <v>189</v>
      </c>
      <c r="C7" t="s">
        <v>22</v>
      </c>
      <c r="D7" t="s">
        <v>425</v>
      </c>
      <c r="E7">
        <f>MATCH(C7,Coordinates!$A$2:$A$120,0)</f>
        <v>106</v>
      </c>
    </row>
    <row r="8" spans="1:5" x14ac:dyDescent="0.25">
      <c r="C8" t="s">
        <v>194</v>
      </c>
      <c r="E8">
        <f>MATCH(C8,Coordinates!$A$2:$A$120,0)</f>
        <v>79</v>
      </c>
    </row>
    <row r="9" spans="1:5" x14ac:dyDescent="0.25">
      <c r="C9" t="s">
        <v>195</v>
      </c>
      <c r="E9">
        <f>MATCH(C9,Coordinates!$A$2:$A$120,0)</f>
        <v>77</v>
      </c>
    </row>
    <row r="10" spans="1:5" x14ac:dyDescent="0.25">
      <c r="C10" t="s">
        <v>196</v>
      </c>
      <c r="E10">
        <f>MATCH(C10,Coordinates!$A$2:$A$120,0)</f>
        <v>8</v>
      </c>
    </row>
    <row r="11" spans="1:5" x14ac:dyDescent="0.25">
      <c r="C11" t="s">
        <v>98</v>
      </c>
      <c r="E11">
        <f>MATCH(C11,Coordinates!$A$2:$A$120,0)</f>
        <v>111</v>
      </c>
    </row>
    <row r="12" spans="1:5" x14ac:dyDescent="0.25">
      <c r="A12" t="s">
        <v>197</v>
      </c>
      <c r="B12" s="3" t="s">
        <v>189</v>
      </c>
      <c r="C12" t="s">
        <v>22</v>
      </c>
      <c r="D12" t="s">
        <v>425</v>
      </c>
      <c r="E12">
        <f>MATCH(C12,Coordinates!$A$2:$A$120,0)</f>
        <v>106</v>
      </c>
    </row>
    <row r="13" spans="1:5" x14ac:dyDescent="0.25">
      <c r="C13" t="s">
        <v>198</v>
      </c>
      <c r="E13">
        <f>MATCH(C13,Coordinates!$A$2:$A$120,0)</f>
        <v>80</v>
      </c>
    </row>
    <row r="14" spans="1:5" x14ac:dyDescent="0.25">
      <c r="C14" t="s">
        <v>199</v>
      </c>
      <c r="E14">
        <f>MATCH(C14,Coordinates!$A$2:$A$120,0)</f>
        <v>78</v>
      </c>
    </row>
    <row r="15" spans="1:5" x14ac:dyDescent="0.25">
      <c r="C15" t="s">
        <v>200</v>
      </c>
      <c r="E15">
        <f>MATCH(C15,Coordinates!$A$2:$A$120,0)</f>
        <v>103</v>
      </c>
    </row>
    <row r="16" spans="1:5" x14ac:dyDescent="0.25">
      <c r="C16" t="s">
        <v>97</v>
      </c>
      <c r="E16">
        <f>MATCH(C16,Coordinates!$A$2:$A$120,0)</f>
        <v>112</v>
      </c>
    </row>
    <row r="17" spans="1:6" x14ac:dyDescent="0.25">
      <c r="A17" t="s">
        <v>201</v>
      </c>
      <c r="B17" s="3" t="s">
        <v>189</v>
      </c>
      <c r="C17" t="s">
        <v>6</v>
      </c>
      <c r="D17" t="s">
        <v>425</v>
      </c>
      <c r="E17">
        <f>MATCH(C17,Coordinates!$A$2:$A$120,0)</f>
        <v>100</v>
      </c>
    </row>
    <row r="18" spans="1:6" x14ac:dyDescent="0.25">
      <c r="C18" t="s">
        <v>202</v>
      </c>
      <c r="E18">
        <f>MATCH(C18,Coordinates!$A$2:$A$120,0)</f>
        <v>72</v>
      </c>
    </row>
    <row r="19" spans="1:6" x14ac:dyDescent="0.25">
      <c r="C19" t="s">
        <v>203</v>
      </c>
      <c r="E19">
        <f>MATCH(C19,Coordinates!$A$2:$A$120,0)</f>
        <v>75</v>
      </c>
    </row>
    <row r="20" spans="1:6" x14ac:dyDescent="0.25">
      <c r="C20" t="s">
        <v>204</v>
      </c>
      <c r="E20">
        <f>MATCH(C20,Coordinates!$A$2:$A$120,0)</f>
        <v>88</v>
      </c>
    </row>
    <row r="21" spans="1:6" x14ac:dyDescent="0.25">
      <c r="C21" t="s">
        <v>96</v>
      </c>
      <c r="E21">
        <f>MATCH(C21,Coordinates!$A$2:$A$120,0)</f>
        <v>113</v>
      </c>
    </row>
    <row r="22" spans="1:6" ht="17.25" customHeight="1" x14ac:dyDescent="0.25">
      <c r="A22" t="s">
        <v>436</v>
      </c>
      <c r="B22" s="3" t="s">
        <v>189</v>
      </c>
      <c r="C22" t="s">
        <v>428</v>
      </c>
      <c r="D22" t="s">
        <v>435</v>
      </c>
      <c r="E22">
        <f>MATCH(C22,Coordinates!$A$2:$A$120,0)</f>
        <v>74</v>
      </c>
    </row>
    <row r="23" spans="1:6" x14ac:dyDescent="0.25">
      <c r="C23" t="s">
        <v>429</v>
      </c>
      <c r="E23">
        <f>MATCH(C23,Coordinates!$A$2:$A$120,0)</f>
        <v>95</v>
      </c>
    </row>
    <row r="24" spans="1:6" x14ac:dyDescent="0.25">
      <c r="C24" t="s">
        <v>432</v>
      </c>
      <c r="E24">
        <f>MATCH(C24,Coordinates!$A$2:$A$120,0)</f>
        <v>114</v>
      </c>
    </row>
    <row r="25" spans="1:6" x14ac:dyDescent="0.25">
      <c r="A25" t="s">
        <v>437</v>
      </c>
      <c r="B25" s="3" t="s">
        <v>189</v>
      </c>
      <c r="C25" t="s">
        <v>430</v>
      </c>
      <c r="D25" t="s">
        <v>435</v>
      </c>
      <c r="E25">
        <f>MATCH(C25,Coordinates!$A$2:$A$120,0)</f>
        <v>76</v>
      </c>
    </row>
    <row r="26" spans="1:6" x14ac:dyDescent="0.25">
      <c r="C26" t="s">
        <v>431</v>
      </c>
      <c r="E26">
        <f>MATCH(C26,Coordinates!$A$2:$A$120,0)</f>
        <v>89</v>
      </c>
    </row>
    <row r="27" spans="1:6" x14ac:dyDescent="0.25">
      <c r="C27" t="s">
        <v>433</v>
      </c>
      <c r="E27">
        <f>MATCH(C27,Coordinates!$A$2:$A$120,0)</f>
        <v>115</v>
      </c>
    </row>
    <row r="28" spans="1:6" x14ac:dyDescent="0.25">
      <c r="B28" s="1"/>
      <c r="F28" s="2"/>
    </row>
    <row r="29" spans="1:6" x14ac:dyDescent="0.25">
      <c r="B29" s="1"/>
      <c r="F29" s="2"/>
    </row>
    <row r="34" spans="2:6" x14ac:dyDescent="0.25">
      <c r="B34" s="1"/>
      <c r="F34" s="2"/>
    </row>
    <row r="129" spans="2:2" x14ac:dyDescent="0.25">
      <c r="B12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2301-A6E7-4CCA-ABF0-75416C86AB4C}">
  <sheetPr codeName="Tabelle3"/>
  <dimension ref="A1:E61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0</v>
      </c>
      <c r="B2" t="s">
        <v>4</v>
      </c>
      <c r="C2" t="s">
        <v>96</v>
      </c>
      <c r="E2">
        <f>MATCH(C2,Coordinates!$A$2:$A$120,0)</f>
        <v>113</v>
      </c>
    </row>
    <row r="3" spans="1:5" x14ac:dyDescent="0.25">
      <c r="C3" t="s">
        <v>49</v>
      </c>
      <c r="E3">
        <f>MATCH(C3,Coordinates!$A$2:$A$120,0)</f>
        <v>51</v>
      </c>
    </row>
    <row r="4" spans="1:5" x14ac:dyDescent="0.25">
      <c r="C4" t="s">
        <v>5</v>
      </c>
      <c r="E4">
        <f>MATCH(C4,Coordinates!$A$2:$A$120,0)</f>
        <v>54</v>
      </c>
    </row>
    <row r="5" spans="1:5" x14ac:dyDescent="0.25">
      <c r="C5" t="s">
        <v>6</v>
      </c>
      <c r="E5">
        <f>MATCH(C5,Coordinates!$A$2:$A$120,0)</f>
        <v>100</v>
      </c>
    </row>
    <row r="6" spans="1:5" x14ac:dyDescent="0.25">
      <c r="C6" t="s">
        <v>7</v>
      </c>
      <c r="E6">
        <f>MATCH(C6,Coordinates!$A$2:$A$120,0)</f>
        <v>87</v>
      </c>
    </row>
    <row r="7" spans="1:5" x14ac:dyDescent="0.25">
      <c r="A7" t="s">
        <v>8</v>
      </c>
      <c r="B7" t="s">
        <v>4</v>
      </c>
      <c r="C7" t="s">
        <v>96</v>
      </c>
      <c r="E7">
        <f>MATCH(C7,Coordinates!$A$2:$A$120,0)</f>
        <v>113</v>
      </c>
    </row>
    <row r="8" spans="1:5" x14ac:dyDescent="0.25">
      <c r="C8" t="s">
        <v>13</v>
      </c>
      <c r="E8" t="e">
        <f>MATCH(C8,Coordinates!$A$2:$A$120,0)</f>
        <v>#N/A</v>
      </c>
    </row>
    <row r="9" spans="1:5" x14ac:dyDescent="0.25">
      <c r="C9" t="s">
        <v>5</v>
      </c>
      <c r="E9">
        <f>MATCH(C9,Coordinates!$A$2:$A$120,0)</f>
        <v>54</v>
      </c>
    </row>
    <row r="10" spans="1:5" x14ac:dyDescent="0.25">
      <c r="C10" t="s">
        <v>6</v>
      </c>
      <c r="E10">
        <f>MATCH(C10,Coordinates!$A$2:$A$120,0)</f>
        <v>100</v>
      </c>
    </row>
    <row r="11" spans="1:5" x14ac:dyDescent="0.25">
      <c r="C11" t="s">
        <v>7</v>
      </c>
      <c r="E11">
        <f>MATCH(C11,Coordinates!$A$2:$A$120,0)</f>
        <v>87</v>
      </c>
    </row>
    <row r="12" spans="1:5" x14ac:dyDescent="0.25">
      <c r="A12" t="s">
        <v>9</v>
      </c>
      <c r="B12" t="s">
        <v>4</v>
      </c>
      <c r="C12" t="s">
        <v>96</v>
      </c>
      <c r="E12">
        <f>MATCH(C12,Coordinates!$A$2:$A$120,0)</f>
        <v>113</v>
      </c>
    </row>
    <row r="13" spans="1:5" x14ac:dyDescent="0.25">
      <c r="C13" t="s">
        <v>49</v>
      </c>
      <c r="E13">
        <f>MATCH(C13,Coordinates!$A$2:$A$120,0)</f>
        <v>51</v>
      </c>
    </row>
    <row r="14" spans="1:5" x14ac:dyDescent="0.25">
      <c r="C14" t="s">
        <v>5</v>
      </c>
      <c r="E14">
        <f>MATCH(C14,Coordinates!$A$2:$A$120,0)</f>
        <v>54</v>
      </c>
    </row>
    <row r="15" spans="1:5" x14ac:dyDescent="0.25">
      <c r="C15" t="s">
        <v>6</v>
      </c>
      <c r="E15">
        <f>MATCH(C15,Coordinates!$A$2:$A$120,0)</f>
        <v>100</v>
      </c>
    </row>
    <row r="16" spans="1:5" x14ac:dyDescent="0.25">
      <c r="C16" t="s">
        <v>10</v>
      </c>
      <c r="E16">
        <f>MATCH(C16,Coordinates!$A$2:$A$120,0)</f>
        <v>119</v>
      </c>
    </row>
    <row r="17" spans="1:5" x14ac:dyDescent="0.25">
      <c r="C17" t="s">
        <v>11</v>
      </c>
      <c r="E17">
        <f>MATCH(C17,Coordinates!$A$2:$A$120,0)</f>
        <v>108</v>
      </c>
    </row>
    <row r="18" spans="1:5" x14ac:dyDescent="0.25">
      <c r="A18" t="s">
        <v>12</v>
      </c>
      <c r="B18" t="s">
        <v>4</v>
      </c>
      <c r="C18" t="s">
        <v>96</v>
      </c>
      <c r="E18">
        <f>MATCH(C18,Coordinates!$A$2:$A$120,0)</f>
        <v>113</v>
      </c>
    </row>
    <row r="19" spans="1:5" x14ac:dyDescent="0.25">
      <c r="C19" t="s">
        <v>13</v>
      </c>
      <c r="E19" t="e">
        <f>MATCH(C19,Coordinates!$A$2:$A$120,0)</f>
        <v>#N/A</v>
      </c>
    </row>
    <row r="20" spans="1:5" x14ac:dyDescent="0.25">
      <c r="C20" t="s">
        <v>5</v>
      </c>
      <c r="E20">
        <f>MATCH(C20,Coordinates!$A$2:$A$120,0)</f>
        <v>54</v>
      </c>
    </row>
    <row r="21" spans="1:5" x14ac:dyDescent="0.25">
      <c r="C21" t="s">
        <v>6</v>
      </c>
      <c r="E21">
        <f>MATCH(C21,Coordinates!$A$2:$A$120,0)</f>
        <v>100</v>
      </c>
    </row>
    <row r="22" spans="1:5" x14ac:dyDescent="0.25">
      <c r="C22" t="s">
        <v>10</v>
      </c>
      <c r="E22">
        <f>MATCH(C22,Coordinates!$A$2:$A$120,0)</f>
        <v>119</v>
      </c>
    </row>
    <row r="23" spans="1:5" x14ac:dyDescent="0.25">
      <c r="C23" t="s">
        <v>11</v>
      </c>
      <c r="E23">
        <f>MATCH(C23,Coordinates!$A$2:$A$120,0)</f>
        <v>108</v>
      </c>
    </row>
    <row r="24" spans="1:5" x14ac:dyDescent="0.25">
      <c r="A24" t="s">
        <v>35</v>
      </c>
      <c r="B24" t="s">
        <v>4</v>
      </c>
      <c r="C24" t="s">
        <v>96</v>
      </c>
      <c r="E24">
        <f>MATCH(C24,Coordinates!$A$2:$A$120,0)</f>
        <v>113</v>
      </c>
    </row>
    <row r="25" spans="1:5" x14ac:dyDescent="0.25">
      <c r="C25" t="s">
        <v>49</v>
      </c>
      <c r="E25">
        <f>MATCH(C25,Coordinates!$A$2:$A$120,0)</f>
        <v>51</v>
      </c>
    </row>
    <row r="26" spans="1:5" x14ac:dyDescent="0.25">
      <c r="C26" t="s">
        <v>36</v>
      </c>
      <c r="E26">
        <f>MATCH(C26,Coordinates!$A$2:$A$120,0)</f>
        <v>56</v>
      </c>
    </row>
    <row r="27" spans="1:5" x14ac:dyDescent="0.25">
      <c r="C27" t="s">
        <v>38</v>
      </c>
      <c r="E27">
        <f>MATCH(C27,Coordinates!$A$2:$A$120,0)</f>
        <v>57</v>
      </c>
    </row>
    <row r="28" spans="1:5" x14ac:dyDescent="0.25">
      <c r="C28" t="s">
        <v>37</v>
      </c>
      <c r="E28">
        <f>MATCH(C28,Coordinates!$A$2:$A$120,0)</f>
        <v>7</v>
      </c>
    </row>
    <row r="29" spans="1:5" x14ac:dyDescent="0.25">
      <c r="A29" t="s">
        <v>39</v>
      </c>
      <c r="B29" t="s">
        <v>4</v>
      </c>
      <c r="C29" t="s">
        <v>96</v>
      </c>
      <c r="E29">
        <f>MATCH(C29,Coordinates!$A$2:$A$120,0)</f>
        <v>113</v>
      </c>
    </row>
    <row r="30" spans="1:5" x14ac:dyDescent="0.25">
      <c r="C30" t="s">
        <v>13</v>
      </c>
      <c r="E30" t="e">
        <f>MATCH(C30,Coordinates!$A$2:$A$120,0)</f>
        <v>#N/A</v>
      </c>
    </row>
    <row r="31" spans="1:5" x14ac:dyDescent="0.25">
      <c r="C31" t="s">
        <v>36</v>
      </c>
      <c r="E31">
        <f>MATCH(C31,Coordinates!$A$2:$A$120,0)</f>
        <v>56</v>
      </c>
    </row>
    <row r="32" spans="1:5" x14ac:dyDescent="0.25">
      <c r="C32" t="s">
        <v>38</v>
      </c>
      <c r="E32">
        <f>MATCH(C32,Coordinates!$A$2:$A$120,0)</f>
        <v>57</v>
      </c>
    </row>
    <row r="33" spans="1:5" x14ac:dyDescent="0.25">
      <c r="C33" t="s">
        <v>37</v>
      </c>
      <c r="E33">
        <f>MATCH(C33,Coordinates!$A$2:$A$120,0)</f>
        <v>7</v>
      </c>
    </row>
    <row r="34" spans="1:5" x14ac:dyDescent="0.25">
      <c r="A34" t="s">
        <v>40</v>
      </c>
      <c r="B34" t="s">
        <v>4</v>
      </c>
      <c r="C34" t="s">
        <v>96</v>
      </c>
      <c r="E34">
        <f>MATCH(C34,Coordinates!$A$2:$A$120,0)</f>
        <v>113</v>
      </c>
    </row>
    <row r="35" spans="1:5" x14ac:dyDescent="0.25">
      <c r="C35" t="s">
        <v>49</v>
      </c>
      <c r="E35">
        <f>MATCH(C35,Coordinates!$A$2:$A$120,0)</f>
        <v>51</v>
      </c>
    </row>
    <row r="36" spans="1:5" x14ac:dyDescent="0.25">
      <c r="C36" t="s">
        <v>41</v>
      </c>
      <c r="E36">
        <f>MATCH(C36,Coordinates!$A$2:$A$120,0)</f>
        <v>67</v>
      </c>
    </row>
    <row r="37" spans="1:5" x14ac:dyDescent="0.25">
      <c r="C37" t="s">
        <v>42</v>
      </c>
      <c r="E37">
        <f>MATCH(C37,Coordinates!$A$2:$A$120,0)</f>
        <v>65</v>
      </c>
    </row>
    <row r="38" spans="1:5" x14ac:dyDescent="0.25">
      <c r="C38" t="s">
        <v>43</v>
      </c>
      <c r="E38">
        <f>MATCH(C38,Coordinates!$A$2:$A$120,0)</f>
        <v>86</v>
      </c>
    </row>
    <row r="39" spans="1:5" ht="18.75" customHeight="1" x14ac:dyDescent="0.25">
      <c r="A39" t="s">
        <v>45</v>
      </c>
      <c r="B39" t="s">
        <v>4</v>
      </c>
      <c r="C39" t="s">
        <v>96</v>
      </c>
      <c r="E39">
        <f>MATCH(C39,Coordinates!$A$2:$A$120,0)</f>
        <v>113</v>
      </c>
    </row>
    <row r="40" spans="1:5" x14ac:dyDescent="0.25">
      <c r="C40" t="s">
        <v>13</v>
      </c>
      <c r="E40" t="e">
        <f>MATCH(C40,Coordinates!$A$2:$A$120,0)</f>
        <v>#N/A</v>
      </c>
    </row>
    <row r="41" spans="1:5" x14ac:dyDescent="0.25">
      <c r="C41" t="s">
        <v>41</v>
      </c>
      <c r="E41">
        <f>MATCH(C41,Coordinates!$A$2:$A$120,0)</f>
        <v>67</v>
      </c>
    </row>
    <row r="42" spans="1:5" x14ac:dyDescent="0.25">
      <c r="C42" t="s">
        <v>42</v>
      </c>
      <c r="E42">
        <f>MATCH(C42,Coordinates!$A$2:$A$120,0)</f>
        <v>65</v>
      </c>
    </row>
    <row r="43" spans="1:5" x14ac:dyDescent="0.25">
      <c r="C43" t="s">
        <v>43</v>
      </c>
      <c r="E43">
        <f>MATCH(C43,Coordinates!$A$2:$A$120,0)</f>
        <v>86</v>
      </c>
    </row>
    <row r="44" spans="1:5" x14ac:dyDescent="0.25">
      <c r="A44" t="s">
        <v>44</v>
      </c>
      <c r="B44" t="s">
        <v>4</v>
      </c>
      <c r="C44" t="s">
        <v>96</v>
      </c>
      <c r="E44">
        <f>MATCH(C44,Coordinates!$A$2:$A$120,0)</f>
        <v>113</v>
      </c>
    </row>
    <row r="45" spans="1:5" x14ac:dyDescent="0.25">
      <c r="C45" t="s">
        <v>49</v>
      </c>
      <c r="E45">
        <f>MATCH(C45,Coordinates!$A$2:$A$120,0)</f>
        <v>51</v>
      </c>
    </row>
    <row r="46" spans="1:5" x14ac:dyDescent="0.25">
      <c r="C46" t="s">
        <v>5</v>
      </c>
      <c r="E46">
        <f>MATCH(C46,Coordinates!$A$2:$A$120,0)</f>
        <v>54</v>
      </c>
    </row>
    <row r="47" spans="1:5" x14ac:dyDescent="0.25">
      <c r="C47" t="s">
        <v>46</v>
      </c>
      <c r="E47">
        <f>MATCH(C47,Coordinates!$A$2:$A$120,0)</f>
        <v>46</v>
      </c>
    </row>
    <row r="48" spans="1:5" x14ac:dyDescent="0.25">
      <c r="C48" t="s">
        <v>47</v>
      </c>
      <c r="E48">
        <f>MATCH(C48,Coordinates!$A$2:$A$120,0)</f>
        <v>90</v>
      </c>
    </row>
    <row r="49" spans="1:5" x14ac:dyDescent="0.25">
      <c r="A49" t="s">
        <v>48</v>
      </c>
      <c r="B49" t="s">
        <v>4</v>
      </c>
      <c r="C49" t="s">
        <v>96</v>
      </c>
      <c r="E49">
        <f>MATCH(C49,Coordinates!$A$2:$A$120,0)</f>
        <v>113</v>
      </c>
    </row>
    <row r="50" spans="1:5" x14ac:dyDescent="0.25">
      <c r="C50" t="s">
        <v>13</v>
      </c>
      <c r="E50" t="e">
        <f>MATCH(C50,Coordinates!$A$2:$A$120,0)</f>
        <v>#N/A</v>
      </c>
    </row>
    <row r="51" spans="1:5" x14ac:dyDescent="0.25">
      <c r="C51" t="s">
        <v>5</v>
      </c>
      <c r="E51">
        <f>MATCH(C51,Coordinates!$A$2:$A$120,0)</f>
        <v>54</v>
      </c>
    </row>
    <row r="52" spans="1:5" x14ac:dyDescent="0.25">
      <c r="C52" t="s">
        <v>46</v>
      </c>
      <c r="E52">
        <f>MATCH(C52,Coordinates!$A$2:$A$120,0)</f>
        <v>46</v>
      </c>
    </row>
    <row r="53" spans="1:5" x14ac:dyDescent="0.25">
      <c r="C53" t="s">
        <v>47</v>
      </c>
      <c r="E53">
        <f>MATCH(C53,Coordinates!$A$2:$A$120,0)</f>
        <v>90</v>
      </c>
    </row>
    <row r="54" spans="1:5" x14ac:dyDescent="0.25">
      <c r="A54" t="s">
        <v>50</v>
      </c>
      <c r="B54" t="s">
        <v>51</v>
      </c>
      <c r="C54" t="s">
        <v>96</v>
      </c>
      <c r="E54">
        <f>MATCH(C54,Coordinates!$A$2:$A$120,0)</f>
        <v>113</v>
      </c>
    </row>
    <row r="55" spans="1:5" x14ac:dyDescent="0.25">
      <c r="C55" t="s">
        <v>52</v>
      </c>
      <c r="E55">
        <f>MATCH(C55,Coordinates!$A$2:$A$120,0)</f>
        <v>10</v>
      </c>
    </row>
    <row r="56" spans="1:5" x14ac:dyDescent="0.25">
      <c r="C56" t="s">
        <v>53</v>
      </c>
      <c r="D56" t="s">
        <v>86</v>
      </c>
      <c r="E56">
        <f>MATCH(C56,Coordinates!$A$2:$A$120,0)</f>
        <v>11</v>
      </c>
    </row>
    <row r="57" spans="1:5" x14ac:dyDescent="0.25">
      <c r="C57" t="s">
        <v>54</v>
      </c>
      <c r="E57">
        <f>MATCH(C57,Coordinates!$A$2:$A$120,0)</f>
        <v>13</v>
      </c>
    </row>
    <row r="58" spans="1:5" x14ac:dyDescent="0.25">
      <c r="C58" t="s">
        <v>55</v>
      </c>
      <c r="E58">
        <f>MATCH(C58,Coordinates!$A$2:$A$120,0)</f>
        <v>14</v>
      </c>
    </row>
    <row r="59" spans="1:5" x14ac:dyDescent="0.25">
      <c r="C59" t="s">
        <v>57</v>
      </c>
      <c r="D59" t="s">
        <v>87</v>
      </c>
      <c r="E59">
        <f>MATCH(C59,Coordinates!$A$2:$A$120,0)</f>
        <v>15</v>
      </c>
    </row>
    <row r="60" spans="1:5" x14ac:dyDescent="0.25">
      <c r="C60" t="s">
        <v>56</v>
      </c>
      <c r="E60">
        <f>MATCH(C60,Coordinates!$A$2:$A$120,0)</f>
        <v>17</v>
      </c>
    </row>
    <row r="61" spans="1:5" x14ac:dyDescent="0.25">
      <c r="C61" t="s">
        <v>58</v>
      </c>
      <c r="E61">
        <f>MATCH(C61,Coordinates!$A$2:$A$120,0)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C0DF-14CB-4573-B6FA-852ADE016B9B}">
  <sheetPr codeName="Tabelle4"/>
  <dimension ref="A1:E64"/>
  <sheetViews>
    <sheetView topLeftCell="A34" workbookViewId="0">
      <selection activeCell="B2" sqref="B2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61</v>
      </c>
      <c r="B2" t="s">
        <v>62</v>
      </c>
      <c r="C2" t="s">
        <v>97</v>
      </c>
      <c r="E2">
        <f>MATCH(C2,Coordinates!$A$2:$A$120,0)</f>
        <v>112</v>
      </c>
    </row>
    <row r="3" spans="1:5" x14ac:dyDescent="0.25">
      <c r="C3" t="s">
        <v>63</v>
      </c>
      <c r="E3">
        <f>MATCH(C3,Coordinates!$A$2:$A$120,0)</f>
        <v>59</v>
      </c>
    </row>
    <row r="4" spans="1:5" x14ac:dyDescent="0.25">
      <c r="C4" t="s">
        <v>64</v>
      </c>
      <c r="E4">
        <f>MATCH(C4,Coordinates!$A$2:$A$120,0)</f>
        <v>4</v>
      </c>
    </row>
    <row r="5" spans="1:5" x14ac:dyDescent="0.25">
      <c r="C5" t="s">
        <v>16</v>
      </c>
      <c r="E5">
        <f>MATCH(C5,Coordinates!$A$2:$A$120,0)</f>
        <v>92</v>
      </c>
    </row>
    <row r="6" spans="1:5" x14ac:dyDescent="0.25">
      <c r="C6" t="s">
        <v>17</v>
      </c>
      <c r="E6">
        <f>MATCH(C6,Coordinates!$A$2:$A$120,0)</f>
        <v>104</v>
      </c>
    </row>
    <row r="7" spans="1:5" x14ac:dyDescent="0.25">
      <c r="C7" t="s">
        <v>18</v>
      </c>
      <c r="E7">
        <f>MATCH(C7,Coordinates!$A$2:$A$120,0)</f>
        <v>99</v>
      </c>
    </row>
    <row r="8" spans="1:5" x14ac:dyDescent="0.25">
      <c r="C8" t="s">
        <v>19</v>
      </c>
      <c r="E8">
        <f>MATCH(C8,Coordinates!$A$2:$A$120,0)</f>
        <v>3</v>
      </c>
    </row>
    <row r="9" spans="1:5" x14ac:dyDescent="0.25">
      <c r="A9" t="s">
        <v>65</v>
      </c>
      <c r="B9" s="1" t="s">
        <v>104</v>
      </c>
      <c r="C9" t="s">
        <v>97</v>
      </c>
      <c r="E9">
        <f>MATCH(C9,Coordinates!$A$2:$A$120,0)</f>
        <v>112</v>
      </c>
    </row>
    <row r="10" spans="1:5" x14ac:dyDescent="0.25">
      <c r="C10" t="s">
        <v>63</v>
      </c>
      <c r="E10">
        <f>MATCH(C10,Coordinates!$A$2:$A$120,0)</f>
        <v>59</v>
      </c>
    </row>
    <row r="11" spans="1:5" x14ac:dyDescent="0.25">
      <c r="C11" t="s">
        <v>66</v>
      </c>
      <c r="E11">
        <f>MATCH(C11,Coordinates!$A$2:$A$120,0)</f>
        <v>63</v>
      </c>
    </row>
    <row r="12" spans="1:5" x14ac:dyDescent="0.25">
      <c r="C12" t="s">
        <v>21</v>
      </c>
      <c r="E12">
        <f>MATCH(C12,Coordinates!$A$2:$A$120,0)</f>
        <v>66</v>
      </c>
    </row>
    <row r="13" spans="1:5" x14ac:dyDescent="0.25">
      <c r="C13" t="s">
        <v>22</v>
      </c>
      <c r="E13">
        <f>MATCH(C13,Coordinates!$A$2:$A$120,0)</f>
        <v>106</v>
      </c>
    </row>
    <row r="14" spans="1:5" x14ac:dyDescent="0.25">
      <c r="C14" t="s">
        <v>17</v>
      </c>
      <c r="E14">
        <f>MATCH(C14,Coordinates!$A$2:$A$120,0)</f>
        <v>104</v>
      </c>
    </row>
    <row r="15" spans="1:5" x14ac:dyDescent="0.25">
      <c r="C15" t="s">
        <v>18</v>
      </c>
      <c r="E15">
        <f>MATCH(C15,Coordinates!$A$2:$A$120,0)</f>
        <v>99</v>
      </c>
    </row>
    <row r="16" spans="1:5" x14ac:dyDescent="0.25">
      <c r="A16" t="s">
        <v>67</v>
      </c>
      <c r="B16" t="s">
        <v>68</v>
      </c>
      <c r="C16" t="s">
        <v>97</v>
      </c>
      <c r="E16">
        <f>MATCH(C16,Coordinates!$A$2:$A$120,0)</f>
        <v>112</v>
      </c>
    </row>
    <row r="17" spans="1:5" x14ac:dyDescent="0.25">
      <c r="C17" t="s">
        <v>63</v>
      </c>
      <c r="E17">
        <f>MATCH(C17,Coordinates!$A$2:$A$120,0)</f>
        <v>59</v>
      </c>
    </row>
    <row r="18" spans="1:5" x14ac:dyDescent="0.25">
      <c r="C18" t="s">
        <v>64</v>
      </c>
      <c r="E18">
        <f>MATCH(C18,Coordinates!$A$2:$A$120,0)</f>
        <v>4</v>
      </c>
    </row>
    <row r="19" spans="1:5" x14ac:dyDescent="0.25">
      <c r="C19" t="s">
        <v>16</v>
      </c>
      <c r="E19">
        <f>MATCH(C19,Coordinates!$A$2:$A$120,0)</f>
        <v>92</v>
      </c>
    </row>
    <row r="20" spans="1:5" x14ac:dyDescent="0.25">
      <c r="C20" t="s">
        <v>17</v>
      </c>
      <c r="E20">
        <f>MATCH(C20,Coordinates!$A$2:$A$120,0)</f>
        <v>104</v>
      </c>
    </row>
    <row r="21" spans="1:5" x14ac:dyDescent="0.25">
      <c r="C21" t="s">
        <v>18</v>
      </c>
      <c r="E21">
        <f>MATCH(C21,Coordinates!$A$2:$A$120,0)</f>
        <v>99</v>
      </c>
    </row>
    <row r="22" spans="1:5" x14ac:dyDescent="0.25">
      <c r="A22" t="s">
        <v>69</v>
      </c>
      <c r="B22" s="1" t="s">
        <v>104</v>
      </c>
      <c r="C22" t="s">
        <v>97</v>
      </c>
      <c r="E22">
        <f>MATCH(C22,Coordinates!$A$2:$A$120,0)</f>
        <v>112</v>
      </c>
    </row>
    <row r="23" spans="1:5" x14ac:dyDescent="0.25">
      <c r="C23" t="s">
        <v>63</v>
      </c>
      <c r="E23">
        <f>MATCH(C23,Coordinates!$A$2:$A$120,0)</f>
        <v>59</v>
      </c>
    </row>
    <row r="24" spans="1:5" x14ac:dyDescent="0.25">
      <c r="C24" t="s">
        <v>66</v>
      </c>
      <c r="E24">
        <f>MATCH(C24,Coordinates!$A$2:$A$120,0)</f>
        <v>63</v>
      </c>
    </row>
    <row r="25" spans="1:5" x14ac:dyDescent="0.25">
      <c r="C25" t="s">
        <v>21</v>
      </c>
      <c r="E25">
        <f>MATCH(C25,Coordinates!$A$2:$A$120,0)</f>
        <v>66</v>
      </c>
    </row>
    <row r="26" spans="1:5" x14ac:dyDescent="0.25">
      <c r="C26" t="s">
        <v>22</v>
      </c>
      <c r="E26">
        <f>MATCH(C26,Coordinates!$A$2:$A$120,0)</f>
        <v>106</v>
      </c>
    </row>
    <row r="27" spans="1:5" x14ac:dyDescent="0.25">
      <c r="C27" t="s">
        <v>17</v>
      </c>
      <c r="E27">
        <f>MATCH(C27,Coordinates!$A$2:$A$120,0)</f>
        <v>104</v>
      </c>
    </row>
    <row r="28" spans="1:5" x14ac:dyDescent="0.25">
      <c r="A28" t="s">
        <v>70</v>
      </c>
      <c r="B28" t="s">
        <v>62</v>
      </c>
      <c r="C28" t="s">
        <v>97</v>
      </c>
      <c r="E28">
        <f>MATCH(C28,Coordinates!$A$2:$A$120,0)</f>
        <v>112</v>
      </c>
    </row>
    <row r="29" spans="1:5" x14ac:dyDescent="0.25">
      <c r="C29" t="s">
        <v>63</v>
      </c>
      <c r="E29">
        <f>MATCH(C29,Coordinates!$A$2:$A$120,0)</f>
        <v>59</v>
      </c>
    </row>
    <row r="30" spans="1:5" x14ac:dyDescent="0.25">
      <c r="C30" t="s">
        <v>64</v>
      </c>
      <c r="E30">
        <f>MATCH(C30,Coordinates!$A$2:$A$120,0)</f>
        <v>4</v>
      </c>
    </row>
    <row r="31" spans="1:5" x14ac:dyDescent="0.25">
      <c r="C31" t="s">
        <v>16</v>
      </c>
      <c r="E31">
        <f>MATCH(C31,Coordinates!$A$2:$A$120,0)</f>
        <v>92</v>
      </c>
    </row>
    <row r="32" spans="1:5" x14ac:dyDescent="0.25">
      <c r="C32" t="s">
        <v>17</v>
      </c>
      <c r="E32">
        <f>MATCH(C32,Coordinates!$A$2:$A$120,0)</f>
        <v>104</v>
      </c>
    </row>
    <row r="33" spans="1:5" x14ac:dyDescent="0.25">
      <c r="C33" t="s">
        <v>18</v>
      </c>
      <c r="E33">
        <f>MATCH(C33,Coordinates!$A$2:$A$120,0)</f>
        <v>99</v>
      </c>
    </row>
    <row r="34" spans="1:5" x14ac:dyDescent="0.25">
      <c r="C34" t="s">
        <v>23</v>
      </c>
      <c r="E34">
        <f>MATCH(C34,Coordinates!$A$2:$A$120,0)</f>
        <v>105</v>
      </c>
    </row>
    <row r="35" spans="1:5" x14ac:dyDescent="0.25">
      <c r="A35" t="s">
        <v>71</v>
      </c>
      <c r="B35" t="s">
        <v>62</v>
      </c>
      <c r="C35" t="s">
        <v>97</v>
      </c>
      <c r="E35">
        <f>MATCH(C35,Coordinates!$A$2:$A$120,0)</f>
        <v>112</v>
      </c>
    </row>
    <row r="36" spans="1:5" x14ac:dyDescent="0.25">
      <c r="C36" t="s">
        <v>63</v>
      </c>
      <c r="E36">
        <f>MATCH(C36,Coordinates!$A$2:$A$120,0)</f>
        <v>59</v>
      </c>
    </row>
    <row r="37" spans="1:5" x14ac:dyDescent="0.25">
      <c r="C37" t="s">
        <v>64</v>
      </c>
      <c r="E37">
        <f>MATCH(C37,Coordinates!$A$2:$A$120,0)</f>
        <v>4</v>
      </c>
    </row>
    <row r="38" spans="1:5" x14ac:dyDescent="0.25">
      <c r="C38" t="s">
        <v>16</v>
      </c>
      <c r="E38">
        <f>MATCH(C38,Coordinates!$A$2:$A$120,0)</f>
        <v>92</v>
      </c>
    </row>
    <row r="39" spans="1:5" x14ac:dyDescent="0.25">
      <c r="C39" t="s">
        <v>24</v>
      </c>
      <c r="E39">
        <f>MATCH(C39,Coordinates!$A$2:$A$120,0)</f>
        <v>97</v>
      </c>
    </row>
    <row r="40" spans="1:5" x14ac:dyDescent="0.25">
      <c r="C40" t="s">
        <v>25</v>
      </c>
      <c r="E40">
        <f>MATCH(C40,Coordinates!$A$2:$A$120,0)</f>
        <v>116</v>
      </c>
    </row>
    <row r="41" spans="1:5" x14ac:dyDescent="0.25">
      <c r="A41" t="s">
        <v>72</v>
      </c>
      <c r="B41" t="s">
        <v>62</v>
      </c>
      <c r="C41" t="s">
        <v>97</v>
      </c>
      <c r="E41">
        <f>MATCH(C41,Coordinates!$A$2:$A$120,0)</f>
        <v>112</v>
      </c>
    </row>
    <row r="42" spans="1:5" x14ac:dyDescent="0.25">
      <c r="C42" t="s">
        <v>63</v>
      </c>
      <c r="E42">
        <f>MATCH(C42,Coordinates!$A$2:$A$120,0)</f>
        <v>59</v>
      </c>
    </row>
    <row r="43" spans="1:5" x14ac:dyDescent="0.25">
      <c r="C43" t="s">
        <v>64</v>
      </c>
      <c r="E43">
        <f>MATCH(C43,Coordinates!$A$2:$A$120,0)</f>
        <v>4</v>
      </c>
    </row>
    <row r="44" spans="1:5" x14ac:dyDescent="0.25">
      <c r="C44" t="s">
        <v>16</v>
      </c>
      <c r="E44">
        <f>MATCH(C44,Coordinates!$A$2:$A$120,0)</f>
        <v>92</v>
      </c>
    </row>
    <row r="45" spans="1:5" x14ac:dyDescent="0.25">
      <c r="C45" t="s">
        <v>26</v>
      </c>
      <c r="E45">
        <f>MATCH(C45,Coordinates!$A$2:$A$120,0)</f>
        <v>117</v>
      </c>
    </row>
    <row r="46" spans="1:5" x14ac:dyDescent="0.25">
      <c r="A46" t="s">
        <v>73</v>
      </c>
      <c r="B46" t="s">
        <v>62</v>
      </c>
      <c r="C46" t="s">
        <v>97</v>
      </c>
      <c r="E46">
        <f>MATCH(C46,Coordinates!$A$2:$A$120,0)</f>
        <v>112</v>
      </c>
    </row>
    <row r="47" spans="1:5" x14ac:dyDescent="0.25">
      <c r="C47" t="s">
        <v>74</v>
      </c>
      <c r="E47">
        <f>MATCH(C47,Coordinates!$A$2:$A$120,0)</f>
        <v>58</v>
      </c>
    </row>
    <row r="48" spans="1:5" x14ac:dyDescent="0.25">
      <c r="C48" t="s">
        <v>27</v>
      </c>
      <c r="E48">
        <f>MATCH(C48,Coordinates!$A$2:$A$120,0)</f>
        <v>107</v>
      </c>
    </row>
    <row r="49" spans="1:5" x14ac:dyDescent="0.25">
      <c r="C49" t="s">
        <v>28</v>
      </c>
      <c r="E49">
        <f>MATCH(C49,Coordinates!$A$2:$A$120,0)</f>
        <v>9</v>
      </c>
    </row>
    <row r="50" spans="1:5" x14ac:dyDescent="0.25">
      <c r="A50" t="s">
        <v>75</v>
      </c>
      <c r="B50" t="s">
        <v>62</v>
      </c>
      <c r="C50" t="s">
        <v>97</v>
      </c>
      <c r="E50">
        <f>MATCH(C50,Coordinates!$A$2:$A$120,0)</f>
        <v>112</v>
      </c>
    </row>
    <row r="51" spans="1:5" x14ac:dyDescent="0.25">
      <c r="C51" t="s">
        <v>74</v>
      </c>
      <c r="E51">
        <f>MATCH(C51,Coordinates!$A$2:$A$120,0)</f>
        <v>58</v>
      </c>
    </row>
    <row r="52" spans="1:5" x14ac:dyDescent="0.25">
      <c r="C52" t="s">
        <v>27</v>
      </c>
      <c r="E52">
        <f>MATCH(C52,Coordinates!$A$2:$A$120,0)</f>
        <v>107</v>
      </c>
    </row>
    <row r="53" spans="1:5" x14ac:dyDescent="0.25">
      <c r="C53" t="s">
        <v>29</v>
      </c>
      <c r="E53">
        <f>MATCH(C53,Coordinates!$A$2:$A$120,0)</f>
        <v>98</v>
      </c>
    </row>
    <row r="54" spans="1:5" x14ac:dyDescent="0.25">
      <c r="C54" t="s">
        <v>30</v>
      </c>
      <c r="E54">
        <f>MATCH(C54,Coordinates!$A$2:$A$120,0)</f>
        <v>91</v>
      </c>
    </row>
    <row r="55" spans="1:5" x14ac:dyDescent="0.25">
      <c r="A55" t="s">
        <v>76</v>
      </c>
      <c r="B55" t="s">
        <v>62</v>
      </c>
      <c r="C55" t="s">
        <v>97</v>
      </c>
      <c r="E55">
        <f>MATCH(C55,Coordinates!$A$2:$A$120,0)</f>
        <v>112</v>
      </c>
    </row>
    <row r="56" spans="1:5" x14ac:dyDescent="0.25">
      <c r="C56" t="s">
        <v>74</v>
      </c>
      <c r="E56">
        <f>MATCH(C56,Coordinates!$A$2:$A$120,0)</f>
        <v>58</v>
      </c>
    </row>
    <row r="57" spans="1:5" x14ac:dyDescent="0.25">
      <c r="C57" t="s">
        <v>77</v>
      </c>
      <c r="E57">
        <f>MATCH(C57,Coordinates!$A$2:$A$120,0)</f>
        <v>68</v>
      </c>
    </row>
    <row r="58" spans="1:5" x14ac:dyDescent="0.25">
      <c r="C58" t="s">
        <v>32</v>
      </c>
      <c r="E58">
        <f>MATCH(C58,Coordinates!$A$2:$A$120,0)</f>
        <v>81</v>
      </c>
    </row>
    <row r="59" spans="1:5" x14ac:dyDescent="0.25">
      <c r="C59" t="s">
        <v>33</v>
      </c>
      <c r="E59">
        <f>MATCH(C59,Coordinates!$A$2:$A$120,0)</f>
        <v>109</v>
      </c>
    </row>
    <row r="60" spans="1:5" x14ac:dyDescent="0.25">
      <c r="A60" t="s">
        <v>78</v>
      </c>
      <c r="B60" t="s">
        <v>62</v>
      </c>
      <c r="C60" t="s">
        <v>97</v>
      </c>
      <c r="E60">
        <f>MATCH(C60,Coordinates!$A$2:$A$120,0)</f>
        <v>112</v>
      </c>
    </row>
    <row r="61" spans="1:5" x14ac:dyDescent="0.25">
      <c r="C61" t="s">
        <v>63</v>
      </c>
      <c r="E61">
        <f>MATCH(C61,Coordinates!$A$2:$A$120,0)</f>
        <v>59</v>
      </c>
    </row>
    <row r="62" spans="1:5" x14ac:dyDescent="0.25">
      <c r="C62" t="s">
        <v>64</v>
      </c>
      <c r="E62">
        <f>MATCH(C62,Coordinates!$A$2:$A$120,0)</f>
        <v>4</v>
      </c>
    </row>
    <row r="63" spans="1:5" x14ac:dyDescent="0.25">
      <c r="C63" t="s">
        <v>93</v>
      </c>
      <c r="E63">
        <f>MATCH(C63,Coordinates!$A$2:$A$120,0)</f>
        <v>84</v>
      </c>
    </row>
    <row r="64" spans="1:5" x14ac:dyDescent="0.25">
      <c r="C64" t="s">
        <v>34</v>
      </c>
      <c r="E64">
        <f>MATCH(C64,Coordinates!$A$2:$A$120,0)</f>
        <v>118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sheetPr codeName="Tabelle6"/>
  <dimension ref="A1:E136"/>
  <sheetViews>
    <sheetView workbookViewId="0">
      <selection activeCell="L27" sqref="L27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110</v>
      </c>
      <c r="B2" t="s">
        <v>111</v>
      </c>
      <c r="C2" t="s">
        <v>98</v>
      </c>
      <c r="E2">
        <f>MATCH(C2,Coordinates!$A$2:$A$120,0)</f>
        <v>111</v>
      </c>
    </row>
    <row r="3" spans="1:5" x14ac:dyDescent="0.25">
      <c r="C3" t="s">
        <v>112</v>
      </c>
      <c r="E3">
        <f>MATCH(C3,Coordinates!$A$2:$A$120,0)</f>
        <v>102</v>
      </c>
    </row>
    <row r="4" spans="1:5" x14ac:dyDescent="0.25">
      <c r="C4" t="s">
        <v>107</v>
      </c>
      <c r="E4">
        <f>MATCH(C4,Coordinates!$A$2:$A$120,0)</f>
        <v>35</v>
      </c>
    </row>
    <row r="5" spans="1:5" x14ac:dyDescent="0.25">
      <c r="C5" t="s">
        <v>23</v>
      </c>
      <c r="E5">
        <f>MATCH(C5,Coordinates!$A$2:$A$120,0)</f>
        <v>105</v>
      </c>
    </row>
    <row r="6" spans="1:5" x14ac:dyDescent="0.25">
      <c r="A6" t="s">
        <v>113</v>
      </c>
      <c r="B6" t="s">
        <v>114</v>
      </c>
      <c r="C6" t="s">
        <v>98</v>
      </c>
      <c r="E6">
        <f>MATCH(C6,Coordinates!$A$2:$A$120,0)</f>
        <v>111</v>
      </c>
    </row>
    <row r="7" spans="1:5" x14ac:dyDescent="0.25">
      <c r="C7" t="s">
        <v>112</v>
      </c>
      <c r="E7">
        <f>MATCH(C7,Coordinates!$A$2:$A$120,0)</f>
        <v>102</v>
      </c>
    </row>
    <row r="8" spans="1:5" x14ac:dyDescent="0.25">
      <c r="C8" t="s">
        <v>107</v>
      </c>
      <c r="E8">
        <f>MATCH(C8,Coordinates!$A$2:$A$120,0)</f>
        <v>35</v>
      </c>
    </row>
    <row r="9" spans="1:5" x14ac:dyDescent="0.25">
      <c r="C9" t="s">
        <v>115</v>
      </c>
      <c r="E9">
        <f>MATCH(C9,Coordinates!$A$2:$A$120,0)</f>
        <v>6</v>
      </c>
    </row>
    <row r="10" spans="1:5" x14ac:dyDescent="0.25">
      <c r="C10" t="s">
        <v>18</v>
      </c>
      <c r="E10">
        <f>MATCH(C10,Coordinates!$A$2:$A$120,0)</f>
        <v>99</v>
      </c>
    </row>
    <row r="11" spans="1:5" x14ac:dyDescent="0.25">
      <c r="A11" t="s">
        <v>116</v>
      </c>
      <c r="B11" t="s">
        <v>111</v>
      </c>
      <c r="C11" t="s">
        <v>98</v>
      </c>
      <c r="E11">
        <f>MATCH(C11,Coordinates!$A$2:$A$120,0)</f>
        <v>111</v>
      </c>
    </row>
    <row r="12" spans="1:5" x14ac:dyDescent="0.25">
      <c r="C12" t="s">
        <v>112</v>
      </c>
      <c r="E12">
        <f>MATCH(C12,Coordinates!$A$2:$A$120,0)</f>
        <v>102</v>
      </c>
    </row>
    <row r="13" spans="1:5" x14ac:dyDescent="0.25">
      <c r="C13" t="s">
        <v>107</v>
      </c>
      <c r="E13">
        <f>MATCH(C13,Coordinates!$A$2:$A$120,0)</f>
        <v>35</v>
      </c>
    </row>
    <row r="14" spans="1:5" x14ac:dyDescent="0.25">
      <c r="C14" t="s">
        <v>117</v>
      </c>
      <c r="E14">
        <f>MATCH(C14,Coordinates!$A$2:$A$120,0)</f>
        <v>5</v>
      </c>
    </row>
    <row r="15" spans="1:5" x14ac:dyDescent="0.25">
      <c r="C15" t="s">
        <v>19</v>
      </c>
      <c r="E15">
        <f>MATCH(C15,Coordinates!$A$2:$A$120,0)</f>
        <v>3</v>
      </c>
    </row>
    <row r="16" spans="1:5" x14ac:dyDescent="0.25">
      <c r="A16" t="s">
        <v>118</v>
      </c>
      <c r="B16" s="1" t="s">
        <v>4</v>
      </c>
      <c r="C16" t="s">
        <v>98</v>
      </c>
      <c r="E16">
        <f>MATCH(C16,Coordinates!$A$2:$A$120,0)</f>
        <v>111</v>
      </c>
    </row>
    <row r="17" spans="1:5" x14ac:dyDescent="0.25">
      <c r="C17" t="s">
        <v>119</v>
      </c>
      <c r="E17">
        <f>MATCH(C17,Coordinates!$A$2:$A$120,0)</f>
        <v>31</v>
      </c>
    </row>
    <row r="18" spans="1:5" x14ac:dyDescent="0.25">
      <c r="C18" t="s">
        <v>120</v>
      </c>
      <c r="E18">
        <f>MATCH(C18,Coordinates!$A$2:$A$120,0)</f>
        <v>49</v>
      </c>
    </row>
    <row r="19" spans="1:5" x14ac:dyDescent="0.25">
      <c r="C19" t="s">
        <v>121</v>
      </c>
      <c r="E19">
        <f>MATCH(C19,Coordinates!$A$2:$A$120,0)</f>
        <v>50</v>
      </c>
    </row>
    <row r="20" spans="1:5" x14ac:dyDescent="0.25">
      <c r="C20" t="s">
        <v>17</v>
      </c>
      <c r="E20">
        <f>MATCH(C20,Coordinates!$A$2:$A$120,0)</f>
        <v>104</v>
      </c>
    </row>
    <row r="21" spans="1:5" x14ac:dyDescent="0.25">
      <c r="A21" t="s">
        <v>122</v>
      </c>
      <c r="B21" s="1" t="s">
        <v>4</v>
      </c>
      <c r="C21" t="s">
        <v>98</v>
      </c>
      <c r="E21">
        <f>MATCH(C21,Coordinates!$A$2:$A$120,0)</f>
        <v>111</v>
      </c>
    </row>
    <row r="22" spans="1:5" x14ac:dyDescent="0.25">
      <c r="C22" t="s">
        <v>123</v>
      </c>
      <c r="E22" t="e">
        <f>MATCH(C22,Coordinates!$A$2:$A$120,0)</f>
        <v>#N/A</v>
      </c>
    </row>
    <row r="23" spans="1:5" x14ac:dyDescent="0.25">
      <c r="C23" t="s">
        <v>120</v>
      </c>
      <c r="E23">
        <f>MATCH(C23,Coordinates!$A$2:$A$120,0)</f>
        <v>49</v>
      </c>
    </row>
    <row r="24" spans="1:5" x14ac:dyDescent="0.25">
      <c r="C24" t="s">
        <v>121</v>
      </c>
      <c r="E24">
        <f>MATCH(C24,Coordinates!$A$2:$A$120,0)</f>
        <v>50</v>
      </c>
    </row>
    <row r="25" spans="1:5" x14ac:dyDescent="0.25">
      <c r="C25" t="s">
        <v>17</v>
      </c>
      <c r="E25">
        <f>MATCH(C25,Coordinates!$A$2:$A$120,0)</f>
        <v>104</v>
      </c>
    </row>
    <row r="26" spans="1:5" x14ac:dyDescent="0.25">
      <c r="A26" t="s">
        <v>125</v>
      </c>
      <c r="B26" t="s">
        <v>4</v>
      </c>
      <c r="C26" t="s">
        <v>98</v>
      </c>
      <c r="E26">
        <f>MATCH(C26,Coordinates!$A$2:$A$120,0)</f>
        <v>111</v>
      </c>
    </row>
    <row r="27" spans="1:5" x14ac:dyDescent="0.25">
      <c r="C27" t="s">
        <v>119</v>
      </c>
      <c r="E27">
        <f>MATCH(C27,Coordinates!$A$2:$A$120,0)</f>
        <v>31</v>
      </c>
    </row>
    <row r="28" spans="1:5" x14ac:dyDescent="0.25">
      <c r="C28" t="s">
        <v>124</v>
      </c>
      <c r="E28">
        <f>MATCH(C28,Coordinates!$A$2:$A$120,0)</f>
        <v>32</v>
      </c>
    </row>
    <row r="29" spans="1:5" x14ac:dyDescent="0.25">
      <c r="C29" t="s">
        <v>22</v>
      </c>
      <c r="E29">
        <f>MATCH(C29,Coordinates!$A$2:$A$120,0)</f>
        <v>106</v>
      </c>
    </row>
    <row r="30" spans="1:5" x14ac:dyDescent="0.25">
      <c r="C30" t="s">
        <v>24</v>
      </c>
      <c r="E30">
        <f>MATCH(C30,Coordinates!$A$2:$A$120,0)</f>
        <v>97</v>
      </c>
    </row>
    <row r="31" spans="1:5" x14ac:dyDescent="0.25">
      <c r="C31" t="s">
        <v>25</v>
      </c>
      <c r="E31">
        <f>MATCH(C31,Coordinates!$A$2:$A$120,0)</f>
        <v>116</v>
      </c>
    </row>
    <row r="32" spans="1:5" x14ac:dyDescent="0.25">
      <c r="A32" t="s">
        <v>126</v>
      </c>
      <c r="B32" t="s">
        <v>4</v>
      </c>
      <c r="C32" t="s">
        <v>98</v>
      </c>
      <c r="E32">
        <f>MATCH(C32,Coordinates!$A$2:$A$120,0)</f>
        <v>111</v>
      </c>
    </row>
    <row r="33" spans="1:5" x14ac:dyDescent="0.25">
      <c r="C33" t="s">
        <v>123</v>
      </c>
      <c r="E33" t="e">
        <f>MATCH(C33,Coordinates!$A$2:$A$120,0)</f>
        <v>#N/A</v>
      </c>
    </row>
    <row r="34" spans="1:5" x14ac:dyDescent="0.25">
      <c r="C34" t="s">
        <v>124</v>
      </c>
      <c r="E34">
        <f>MATCH(C34,Coordinates!$A$2:$A$120,0)</f>
        <v>32</v>
      </c>
    </row>
    <row r="35" spans="1:5" x14ac:dyDescent="0.25">
      <c r="C35" t="s">
        <v>22</v>
      </c>
      <c r="E35">
        <f>MATCH(C35,Coordinates!$A$2:$A$120,0)</f>
        <v>106</v>
      </c>
    </row>
    <row r="36" spans="1:5" x14ac:dyDescent="0.25">
      <c r="C36" t="s">
        <v>24</v>
      </c>
      <c r="E36">
        <f>MATCH(C36,Coordinates!$A$2:$A$120,0)</f>
        <v>97</v>
      </c>
    </row>
    <row r="37" spans="1:5" x14ac:dyDescent="0.25">
      <c r="C37" t="s">
        <v>25</v>
      </c>
      <c r="E37">
        <f>MATCH(C37,Coordinates!$A$2:$A$120,0)</f>
        <v>116</v>
      </c>
    </row>
    <row r="38" spans="1:5" x14ac:dyDescent="0.25">
      <c r="A38" t="s">
        <v>127</v>
      </c>
      <c r="B38" t="s">
        <v>4</v>
      </c>
      <c r="C38" t="s">
        <v>98</v>
      </c>
      <c r="E38">
        <f>MATCH(C38,Coordinates!$A$2:$A$120,0)</f>
        <v>111</v>
      </c>
    </row>
    <row r="39" spans="1:5" x14ac:dyDescent="0.25">
      <c r="C39" t="s">
        <v>112</v>
      </c>
      <c r="E39">
        <f>MATCH(C39,Coordinates!$A$2:$A$120,0)</f>
        <v>102</v>
      </c>
    </row>
    <row r="40" spans="1:5" x14ac:dyDescent="0.25">
      <c r="C40" t="s">
        <v>128</v>
      </c>
      <c r="E40">
        <f>MATCH(C40,Coordinates!$A$2:$A$120,0)</f>
        <v>40</v>
      </c>
    </row>
    <row r="41" spans="1:5" x14ac:dyDescent="0.25">
      <c r="C41" t="s">
        <v>129</v>
      </c>
      <c r="E41">
        <f>MATCH(C41,Coordinates!$A$2:$A$120,0)</f>
        <v>30</v>
      </c>
    </row>
    <row r="42" spans="1:5" x14ac:dyDescent="0.25">
      <c r="C42" t="s">
        <v>22</v>
      </c>
      <c r="E42">
        <f>MATCH(C42,Coordinates!$A$2:$A$120,0)</f>
        <v>106</v>
      </c>
    </row>
    <row r="43" spans="1:5" x14ac:dyDescent="0.25">
      <c r="C43" t="s">
        <v>24</v>
      </c>
      <c r="E43">
        <f>MATCH(C43,Coordinates!$A$2:$A$120,0)</f>
        <v>97</v>
      </c>
    </row>
    <row r="44" spans="1:5" x14ac:dyDescent="0.25">
      <c r="C44" t="s">
        <v>25</v>
      </c>
      <c r="E44">
        <f>MATCH(C44,Coordinates!$A$2:$A$120,0)</f>
        <v>116</v>
      </c>
    </row>
    <row r="45" spans="1:5" x14ac:dyDescent="0.25">
      <c r="A45" t="s">
        <v>130</v>
      </c>
      <c r="B45" t="s">
        <v>4</v>
      </c>
      <c r="C45" t="s">
        <v>98</v>
      </c>
      <c r="E45">
        <f>MATCH(C45,Coordinates!$A$2:$A$120,0)</f>
        <v>111</v>
      </c>
    </row>
    <row r="46" spans="1:5" x14ac:dyDescent="0.25">
      <c r="C46" t="s">
        <v>119</v>
      </c>
      <c r="E46">
        <f>MATCH(C46,Coordinates!$A$2:$A$120,0)</f>
        <v>31</v>
      </c>
    </row>
    <row r="47" spans="1:5" x14ac:dyDescent="0.25">
      <c r="C47" t="s">
        <v>124</v>
      </c>
      <c r="E47">
        <f>MATCH(C47,Coordinates!$A$2:$A$120,0)</f>
        <v>32</v>
      </c>
    </row>
    <row r="48" spans="1:5" x14ac:dyDescent="0.25">
      <c r="C48" t="s">
        <v>22</v>
      </c>
      <c r="E48">
        <f>MATCH(C48,Coordinates!$A$2:$A$120,0)</f>
        <v>106</v>
      </c>
    </row>
    <row r="49" spans="1:5" x14ac:dyDescent="0.25">
      <c r="C49" t="s">
        <v>26</v>
      </c>
      <c r="E49">
        <f>MATCH(C49,Coordinates!$A$2:$A$120,0)</f>
        <v>117</v>
      </c>
    </row>
    <row r="50" spans="1:5" x14ac:dyDescent="0.25">
      <c r="A50" t="s">
        <v>131</v>
      </c>
      <c r="B50" t="s">
        <v>4</v>
      </c>
      <c r="C50" t="s">
        <v>98</v>
      </c>
      <c r="E50">
        <f>MATCH(C50,Coordinates!$A$2:$A$120,0)</f>
        <v>111</v>
      </c>
    </row>
    <row r="51" spans="1:5" x14ac:dyDescent="0.25">
      <c r="C51" t="s">
        <v>123</v>
      </c>
      <c r="E51" t="e">
        <f>MATCH(C51,Coordinates!$A$2:$A$120,0)</f>
        <v>#N/A</v>
      </c>
    </row>
    <row r="52" spans="1:5" x14ac:dyDescent="0.25">
      <c r="C52" t="s">
        <v>124</v>
      </c>
      <c r="E52">
        <f>MATCH(C52,Coordinates!$A$2:$A$120,0)</f>
        <v>32</v>
      </c>
    </row>
    <row r="53" spans="1:5" x14ac:dyDescent="0.25">
      <c r="C53" t="s">
        <v>22</v>
      </c>
      <c r="E53">
        <f>MATCH(C53,Coordinates!$A$2:$A$120,0)</f>
        <v>106</v>
      </c>
    </row>
    <row r="54" spans="1:5" x14ac:dyDescent="0.25">
      <c r="C54" t="s">
        <v>26</v>
      </c>
      <c r="E54">
        <f>MATCH(C54,Coordinates!$A$2:$A$120,0)</f>
        <v>117</v>
      </c>
    </row>
    <row r="55" spans="1:5" x14ac:dyDescent="0.25">
      <c r="A55" t="s">
        <v>132</v>
      </c>
      <c r="B55" t="s">
        <v>4</v>
      </c>
      <c r="C55" t="s">
        <v>98</v>
      </c>
      <c r="E55">
        <f>MATCH(C55,Coordinates!$A$2:$A$120,0)</f>
        <v>111</v>
      </c>
    </row>
    <row r="56" spans="1:5" x14ac:dyDescent="0.25">
      <c r="C56" t="s">
        <v>112</v>
      </c>
      <c r="E56">
        <f>MATCH(C56,Coordinates!$A$2:$A$120,0)</f>
        <v>102</v>
      </c>
    </row>
    <row r="57" spans="1:5" x14ac:dyDescent="0.25">
      <c r="C57" t="s">
        <v>128</v>
      </c>
      <c r="E57">
        <f>MATCH(C57,Coordinates!$A$2:$A$120,0)</f>
        <v>40</v>
      </c>
    </row>
    <row r="58" spans="1:5" x14ac:dyDescent="0.25">
      <c r="C58" t="s">
        <v>129</v>
      </c>
      <c r="E58">
        <f>MATCH(C58,Coordinates!$A$2:$A$120,0)</f>
        <v>30</v>
      </c>
    </row>
    <row r="59" spans="1:5" x14ac:dyDescent="0.25">
      <c r="C59" t="s">
        <v>22</v>
      </c>
      <c r="E59">
        <f>MATCH(C59,Coordinates!$A$2:$A$120,0)</f>
        <v>106</v>
      </c>
    </row>
    <row r="60" spans="1:5" x14ac:dyDescent="0.25">
      <c r="C60" t="s">
        <v>26</v>
      </c>
      <c r="E60">
        <f>MATCH(C60,Coordinates!$A$2:$A$120,0)</f>
        <v>117</v>
      </c>
    </row>
    <row r="61" spans="1:5" x14ac:dyDescent="0.25">
      <c r="A61" t="s">
        <v>133</v>
      </c>
      <c r="B61" t="s">
        <v>4</v>
      </c>
      <c r="C61" t="s">
        <v>98</v>
      </c>
      <c r="E61">
        <f>MATCH(C61,Coordinates!$A$2:$A$120,0)</f>
        <v>111</v>
      </c>
    </row>
    <row r="62" spans="1:5" x14ac:dyDescent="0.25">
      <c r="C62" t="s">
        <v>119</v>
      </c>
      <c r="E62">
        <f>MATCH(C62,Coordinates!$A$2:$A$120,0)</f>
        <v>31</v>
      </c>
    </row>
    <row r="63" spans="1:5" x14ac:dyDescent="0.25">
      <c r="C63" t="s">
        <v>124</v>
      </c>
      <c r="E63">
        <f>MATCH(C63,Coordinates!$A$2:$A$120,0)</f>
        <v>32</v>
      </c>
    </row>
    <row r="64" spans="1:5" x14ac:dyDescent="0.25">
      <c r="C64" t="s">
        <v>22</v>
      </c>
      <c r="E64">
        <f>MATCH(C64,Coordinates!$A$2:$A$120,0)</f>
        <v>106</v>
      </c>
    </row>
    <row r="65" spans="1:5" x14ac:dyDescent="0.25">
      <c r="C65" t="s">
        <v>16</v>
      </c>
      <c r="E65">
        <f>MATCH(C65,Coordinates!$A$2:$A$120,0)</f>
        <v>92</v>
      </c>
    </row>
    <row r="66" spans="1:5" x14ac:dyDescent="0.25">
      <c r="C66" t="s">
        <v>33</v>
      </c>
      <c r="E66">
        <f>MATCH(C66,Coordinates!$A$2:$A$120,0)</f>
        <v>109</v>
      </c>
    </row>
    <row r="67" spans="1:5" x14ac:dyDescent="0.25">
      <c r="A67" t="s">
        <v>134</v>
      </c>
      <c r="B67" t="s">
        <v>4</v>
      </c>
      <c r="C67" t="s">
        <v>98</v>
      </c>
      <c r="E67">
        <f>MATCH(C67,Coordinates!$A$2:$A$120,0)</f>
        <v>111</v>
      </c>
    </row>
    <row r="68" spans="1:5" x14ac:dyDescent="0.25">
      <c r="C68" t="s">
        <v>123</v>
      </c>
      <c r="E68" t="e">
        <f>MATCH(C68,Coordinates!$A$2:$A$120,0)</f>
        <v>#N/A</v>
      </c>
    </row>
    <row r="69" spans="1:5" x14ac:dyDescent="0.25">
      <c r="C69" t="s">
        <v>124</v>
      </c>
      <c r="E69">
        <f>MATCH(C69,Coordinates!$A$2:$A$120,0)</f>
        <v>32</v>
      </c>
    </row>
    <row r="70" spans="1:5" x14ac:dyDescent="0.25">
      <c r="C70" t="s">
        <v>22</v>
      </c>
      <c r="E70">
        <f>MATCH(C70,Coordinates!$A$2:$A$120,0)</f>
        <v>106</v>
      </c>
    </row>
    <row r="71" spans="1:5" x14ac:dyDescent="0.25">
      <c r="C71" t="s">
        <v>16</v>
      </c>
      <c r="E71">
        <f>MATCH(C71,Coordinates!$A$2:$A$120,0)</f>
        <v>92</v>
      </c>
    </row>
    <row r="72" spans="1:5" x14ac:dyDescent="0.25">
      <c r="C72" t="s">
        <v>33</v>
      </c>
      <c r="E72">
        <f>MATCH(C72,Coordinates!$A$2:$A$120,0)</f>
        <v>109</v>
      </c>
    </row>
    <row r="73" spans="1:5" x14ac:dyDescent="0.25">
      <c r="A73" t="s">
        <v>135</v>
      </c>
      <c r="B73" t="s">
        <v>4</v>
      </c>
      <c r="C73" t="s">
        <v>98</v>
      </c>
      <c r="E73">
        <f>MATCH(C73,Coordinates!$A$2:$A$120,0)</f>
        <v>111</v>
      </c>
    </row>
    <row r="74" spans="1:5" x14ac:dyDescent="0.25">
      <c r="C74" t="s">
        <v>112</v>
      </c>
      <c r="E74">
        <f>MATCH(C74,Coordinates!$A$2:$A$120,0)</f>
        <v>102</v>
      </c>
    </row>
    <row r="75" spans="1:5" x14ac:dyDescent="0.25">
      <c r="C75" t="s">
        <v>128</v>
      </c>
      <c r="E75">
        <f>MATCH(C75,Coordinates!$A$2:$A$120,0)</f>
        <v>40</v>
      </c>
    </row>
    <row r="76" spans="1:5" x14ac:dyDescent="0.25">
      <c r="C76" t="s">
        <v>129</v>
      </c>
      <c r="E76">
        <f>MATCH(C76,Coordinates!$A$2:$A$120,0)</f>
        <v>30</v>
      </c>
    </row>
    <row r="77" spans="1:5" x14ac:dyDescent="0.25">
      <c r="C77" t="s">
        <v>22</v>
      </c>
      <c r="E77">
        <f>MATCH(C77,Coordinates!$A$2:$A$120,0)</f>
        <v>106</v>
      </c>
    </row>
    <row r="78" spans="1:5" x14ac:dyDescent="0.25">
      <c r="C78" t="s">
        <v>16</v>
      </c>
      <c r="E78">
        <f>MATCH(C78,Coordinates!$A$2:$A$120,0)</f>
        <v>92</v>
      </c>
    </row>
    <row r="79" spans="1:5" x14ac:dyDescent="0.25">
      <c r="C79" t="s">
        <v>33</v>
      </c>
      <c r="E79">
        <f>MATCH(C79,Coordinates!$A$2:$A$120,0)</f>
        <v>109</v>
      </c>
    </row>
    <row r="80" spans="1:5" x14ac:dyDescent="0.25">
      <c r="A80" t="s">
        <v>136</v>
      </c>
      <c r="B80" t="s">
        <v>4</v>
      </c>
      <c r="C80" t="s">
        <v>98</v>
      </c>
      <c r="E80">
        <f>MATCH(C80,Coordinates!$A$2:$A$120,0)</f>
        <v>111</v>
      </c>
    </row>
    <row r="81" spans="1:5" x14ac:dyDescent="0.25">
      <c r="C81" t="s">
        <v>119</v>
      </c>
      <c r="E81">
        <f>MATCH(C81,Coordinates!$A$2:$A$120,0)</f>
        <v>31</v>
      </c>
    </row>
    <row r="82" spans="1:5" x14ac:dyDescent="0.25">
      <c r="C82" t="s">
        <v>124</v>
      </c>
      <c r="E82">
        <f>MATCH(C82,Coordinates!$A$2:$A$120,0)</f>
        <v>32</v>
      </c>
    </row>
    <row r="83" spans="1:5" x14ac:dyDescent="0.25">
      <c r="C83" t="s">
        <v>22</v>
      </c>
      <c r="E83">
        <f>MATCH(C83,Coordinates!$A$2:$A$120,0)</f>
        <v>106</v>
      </c>
    </row>
    <row r="84" spans="1:5" x14ac:dyDescent="0.25">
      <c r="C84" t="s">
        <v>16</v>
      </c>
      <c r="E84">
        <f>MATCH(C84,Coordinates!$A$2:$A$120,0)</f>
        <v>92</v>
      </c>
    </row>
    <row r="85" spans="1:5" x14ac:dyDescent="0.25">
      <c r="C85" t="s">
        <v>34</v>
      </c>
      <c r="E85">
        <f>MATCH(C85,Coordinates!$A$2:$A$120,0)</f>
        <v>118</v>
      </c>
    </row>
    <row r="86" spans="1:5" x14ac:dyDescent="0.25">
      <c r="A86" t="s">
        <v>137</v>
      </c>
      <c r="B86" t="s">
        <v>4</v>
      </c>
      <c r="C86" t="s">
        <v>98</v>
      </c>
      <c r="E86">
        <f>MATCH(C86,Coordinates!$A$2:$A$120,0)</f>
        <v>111</v>
      </c>
    </row>
    <row r="87" spans="1:5" x14ac:dyDescent="0.25">
      <c r="C87" t="s">
        <v>123</v>
      </c>
      <c r="E87" t="e">
        <f>MATCH(C87,Coordinates!$A$2:$A$120,0)</f>
        <v>#N/A</v>
      </c>
    </row>
    <row r="88" spans="1:5" x14ac:dyDescent="0.25">
      <c r="C88" t="s">
        <v>124</v>
      </c>
      <c r="E88">
        <f>MATCH(C88,Coordinates!$A$2:$A$120,0)</f>
        <v>32</v>
      </c>
    </row>
    <row r="89" spans="1:5" x14ac:dyDescent="0.25">
      <c r="C89" t="s">
        <v>22</v>
      </c>
      <c r="E89">
        <f>MATCH(C89,Coordinates!$A$2:$A$120,0)</f>
        <v>106</v>
      </c>
    </row>
    <row r="90" spans="1:5" x14ac:dyDescent="0.25">
      <c r="C90" t="s">
        <v>16</v>
      </c>
      <c r="E90">
        <f>MATCH(C90,Coordinates!$A$2:$A$120,0)</f>
        <v>92</v>
      </c>
    </row>
    <row r="91" spans="1:5" x14ac:dyDescent="0.25">
      <c r="C91" t="s">
        <v>34</v>
      </c>
      <c r="E91">
        <f>MATCH(C91,Coordinates!$A$2:$A$120,0)</f>
        <v>118</v>
      </c>
    </row>
    <row r="92" spans="1:5" x14ac:dyDescent="0.25">
      <c r="A92" t="s">
        <v>138</v>
      </c>
      <c r="B92" t="s">
        <v>4</v>
      </c>
      <c r="C92" t="s">
        <v>98</v>
      </c>
      <c r="E92">
        <f>MATCH(C92,Coordinates!$A$2:$A$120,0)</f>
        <v>111</v>
      </c>
    </row>
    <row r="93" spans="1:5" x14ac:dyDescent="0.25">
      <c r="C93" t="s">
        <v>112</v>
      </c>
      <c r="E93">
        <f>MATCH(C93,Coordinates!$A$2:$A$120,0)</f>
        <v>102</v>
      </c>
    </row>
    <row r="94" spans="1:5" x14ac:dyDescent="0.25">
      <c r="C94" t="s">
        <v>128</v>
      </c>
      <c r="E94">
        <f>MATCH(C94,Coordinates!$A$2:$A$120,0)</f>
        <v>40</v>
      </c>
    </row>
    <row r="95" spans="1:5" x14ac:dyDescent="0.25">
      <c r="C95" t="s">
        <v>129</v>
      </c>
      <c r="E95">
        <f>MATCH(C95,Coordinates!$A$2:$A$120,0)</f>
        <v>30</v>
      </c>
    </row>
    <row r="96" spans="1:5" x14ac:dyDescent="0.25">
      <c r="C96" t="s">
        <v>22</v>
      </c>
      <c r="E96">
        <f>MATCH(C96,Coordinates!$A$2:$A$120,0)</f>
        <v>106</v>
      </c>
    </row>
    <row r="97" spans="1:5" x14ac:dyDescent="0.25">
      <c r="C97" t="s">
        <v>16</v>
      </c>
      <c r="E97">
        <f>MATCH(C97,Coordinates!$A$2:$A$120,0)</f>
        <v>92</v>
      </c>
    </row>
    <row r="98" spans="1:5" x14ac:dyDescent="0.25">
      <c r="C98" t="s">
        <v>34</v>
      </c>
      <c r="E98">
        <f>MATCH(C98,Coordinates!$A$2:$A$120,0)</f>
        <v>118</v>
      </c>
    </row>
    <row r="99" spans="1:5" x14ac:dyDescent="0.25">
      <c r="A99" t="s">
        <v>139</v>
      </c>
      <c r="B99" t="s">
        <v>4</v>
      </c>
      <c r="C99" t="s">
        <v>98</v>
      </c>
      <c r="E99">
        <f>MATCH(C99,Coordinates!$A$2:$A$120,0)</f>
        <v>111</v>
      </c>
    </row>
    <row r="100" spans="1:5" x14ac:dyDescent="0.25">
      <c r="C100" t="s">
        <v>119</v>
      </c>
      <c r="E100">
        <f>MATCH(C100,Coordinates!$A$2:$A$120,0)</f>
        <v>31</v>
      </c>
    </row>
    <row r="101" spans="1:5" x14ac:dyDescent="0.25">
      <c r="C101" t="s">
        <v>124</v>
      </c>
      <c r="E101">
        <f>MATCH(C101,Coordinates!$A$2:$A$120,0)</f>
        <v>32</v>
      </c>
    </row>
    <row r="102" spans="1:5" x14ac:dyDescent="0.25">
      <c r="C102" t="s">
        <v>22</v>
      </c>
      <c r="E102">
        <f>MATCH(C102,Coordinates!$A$2:$A$120,0)</f>
        <v>106</v>
      </c>
    </row>
    <row r="103" spans="1:5" x14ac:dyDescent="0.25">
      <c r="C103" t="s">
        <v>29</v>
      </c>
      <c r="E103">
        <f>MATCH(C103,Coordinates!$A$2:$A$120,0)</f>
        <v>98</v>
      </c>
    </row>
    <row r="104" spans="1:5" x14ac:dyDescent="0.25">
      <c r="C104" t="s">
        <v>30</v>
      </c>
      <c r="E104">
        <f>MATCH(C104,Coordinates!$A$2:$A$120,0)</f>
        <v>91</v>
      </c>
    </row>
    <row r="105" spans="1:5" x14ac:dyDescent="0.25">
      <c r="A105" t="s">
        <v>140</v>
      </c>
      <c r="B105" t="s">
        <v>4</v>
      </c>
      <c r="C105" t="s">
        <v>98</v>
      </c>
      <c r="E105">
        <f>MATCH(C105,Coordinates!$A$2:$A$120,0)</f>
        <v>111</v>
      </c>
    </row>
    <row r="106" spans="1:5" x14ac:dyDescent="0.25">
      <c r="C106" t="s">
        <v>123</v>
      </c>
      <c r="E106" t="e">
        <f>MATCH(C106,Coordinates!$A$2:$A$120,0)</f>
        <v>#N/A</v>
      </c>
    </row>
    <row r="107" spans="1:5" x14ac:dyDescent="0.25">
      <c r="C107" t="s">
        <v>124</v>
      </c>
      <c r="E107">
        <f>MATCH(C107,Coordinates!$A$2:$A$120,0)</f>
        <v>32</v>
      </c>
    </row>
    <row r="108" spans="1:5" x14ac:dyDescent="0.25">
      <c r="C108" t="s">
        <v>22</v>
      </c>
      <c r="E108">
        <f>MATCH(C108,Coordinates!$A$2:$A$120,0)</f>
        <v>106</v>
      </c>
    </row>
    <row r="109" spans="1:5" x14ac:dyDescent="0.25">
      <c r="C109" t="s">
        <v>29</v>
      </c>
      <c r="E109">
        <f>MATCH(C109,Coordinates!$A$2:$A$120,0)</f>
        <v>98</v>
      </c>
    </row>
    <row r="110" spans="1:5" x14ac:dyDescent="0.25">
      <c r="C110" t="s">
        <v>30</v>
      </c>
      <c r="E110">
        <f>MATCH(C110,Coordinates!$A$2:$A$120,0)</f>
        <v>91</v>
      </c>
    </row>
    <row r="111" spans="1:5" x14ac:dyDescent="0.25">
      <c r="A111" t="s">
        <v>141</v>
      </c>
      <c r="B111" t="s">
        <v>4</v>
      </c>
      <c r="C111" t="s">
        <v>98</v>
      </c>
      <c r="E111">
        <f>MATCH(C111,Coordinates!$A$2:$A$120,0)</f>
        <v>111</v>
      </c>
    </row>
    <row r="112" spans="1:5" x14ac:dyDescent="0.25">
      <c r="C112" t="s">
        <v>112</v>
      </c>
      <c r="E112">
        <f>MATCH(C112,Coordinates!$A$2:$A$120,0)</f>
        <v>102</v>
      </c>
    </row>
    <row r="113" spans="1:5" x14ac:dyDescent="0.25">
      <c r="C113" t="s">
        <v>128</v>
      </c>
      <c r="E113">
        <f>MATCH(C113,Coordinates!$A$2:$A$120,0)</f>
        <v>40</v>
      </c>
    </row>
    <row r="114" spans="1:5" x14ac:dyDescent="0.25">
      <c r="C114" t="s">
        <v>129</v>
      </c>
      <c r="E114">
        <f>MATCH(C114,Coordinates!$A$2:$A$120,0)</f>
        <v>30</v>
      </c>
    </row>
    <row r="115" spans="1:5" x14ac:dyDescent="0.25">
      <c r="C115" t="s">
        <v>22</v>
      </c>
      <c r="E115">
        <f>MATCH(C115,Coordinates!$A$2:$A$120,0)</f>
        <v>106</v>
      </c>
    </row>
    <row r="116" spans="1:5" x14ac:dyDescent="0.25">
      <c r="C116" t="s">
        <v>29</v>
      </c>
      <c r="E116">
        <f>MATCH(C116,Coordinates!$A$2:$A$120,0)</f>
        <v>98</v>
      </c>
    </row>
    <row r="117" spans="1:5" x14ac:dyDescent="0.25">
      <c r="C117" t="s">
        <v>30</v>
      </c>
      <c r="E117">
        <f>MATCH(C117,Coordinates!$A$2:$A$120,0)</f>
        <v>91</v>
      </c>
    </row>
    <row r="118" spans="1:5" x14ac:dyDescent="0.25">
      <c r="A118" t="s">
        <v>142</v>
      </c>
      <c r="B118" t="s">
        <v>4</v>
      </c>
      <c r="C118" t="s">
        <v>98</v>
      </c>
      <c r="E118">
        <f>MATCH(C118,Coordinates!$A$2:$A$120,0)</f>
        <v>111</v>
      </c>
    </row>
    <row r="119" spans="1:5" x14ac:dyDescent="0.25">
      <c r="C119" t="s">
        <v>119</v>
      </c>
      <c r="E119">
        <f>MATCH(C119,Coordinates!$A$2:$A$120,0)</f>
        <v>31</v>
      </c>
    </row>
    <row r="120" spans="1:5" x14ac:dyDescent="0.25">
      <c r="C120" t="s">
        <v>124</v>
      </c>
      <c r="E120">
        <f>MATCH(C120,Coordinates!$A$2:$A$120,0)</f>
        <v>32</v>
      </c>
    </row>
    <row r="121" spans="1:5" x14ac:dyDescent="0.25">
      <c r="C121" t="s">
        <v>22</v>
      </c>
      <c r="E121">
        <f>MATCH(C121,Coordinates!$A$2:$A$120,0)</f>
        <v>106</v>
      </c>
    </row>
    <row r="122" spans="1:5" x14ac:dyDescent="0.25">
      <c r="C122" t="s">
        <v>29</v>
      </c>
      <c r="E122">
        <f>MATCH(C122,Coordinates!$A$2:$A$120,0)</f>
        <v>98</v>
      </c>
    </row>
    <row r="123" spans="1:5" x14ac:dyDescent="0.25">
      <c r="C123" t="s">
        <v>28</v>
      </c>
      <c r="E123">
        <f>MATCH(C123,Coordinates!$A$2:$A$120,0)</f>
        <v>9</v>
      </c>
    </row>
    <row r="124" spans="1:5" x14ac:dyDescent="0.25">
      <c r="A124" t="s">
        <v>143</v>
      </c>
      <c r="B124" t="s">
        <v>4</v>
      </c>
      <c r="C124" t="s">
        <v>98</v>
      </c>
      <c r="E124">
        <f>MATCH(C124,Coordinates!$A$2:$A$120,0)</f>
        <v>111</v>
      </c>
    </row>
    <row r="125" spans="1:5" x14ac:dyDescent="0.25">
      <c r="C125" t="s">
        <v>123</v>
      </c>
      <c r="E125" t="e">
        <f>MATCH(C125,Coordinates!$A$2:$A$120,0)</f>
        <v>#N/A</v>
      </c>
    </row>
    <row r="126" spans="1:5" x14ac:dyDescent="0.25">
      <c r="C126" t="s">
        <v>124</v>
      </c>
      <c r="E126">
        <f>MATCH(C126,Coordinates!$A$2:$A$120,0)</f>
        <v>32</v>
      </c>
    </row>
    <row r="127" spans="1:5" x14ac:dyDescent="0.25">
      <c r="C127" t="s">
        <v>22</v>
      </c>
      <c r="E127">
        <f>MATCH(C127,Coordinates!$A$2:$A$120,0)</f>
        <v>106</v>
      </c>
    </row>
    <row r="128" spans="1:5" x14ac:dyDescent="0.25">
      <c r="C128" t="s">
        <v>29</v>
      </c>
      <c r="E128">
        <f>MATCH(C128,Coordinates!$A$2:$A$120,0)</f>
        <v>98</v>
      </c>
    </row>
    <row r="129" spans="1:5" x14ac:dyDescent="0.25">
      <c r="C129" t="s">
        <v>28</v>
      </c>
      <c r="E129">
        <f>MATCH(C129,Coordinates!$A$2:$A$120,0)</f>
        <v>9</v>
      </c>
    </row>
    <row r="130" spans="1:5" x14ac:dyDescent="0.25">
      <c r="A130" t="s">
        <v>144</v>
      </c>
      <c r="B130" t="s">
        <v>4</v>
      </c>
      <c r="C130" t="s">
        <v>98</v>
      </c>
      <c r="E130">
        <f>MATCH(C130,Coordinates!$A$2:$A$120,0)</f>
        <v>111</v>
      </c>
    </row>
    <row r="131" spans="1:5" x14ac:dyDescent="0.25">
      <c r="C131" t="s">
        <v>112</v>
      </c>
      <c r="E131">
        <f>MATCH(C131,Coordinates!$A$2:$A$120,0)</f>
        <v>102</v>
      </c>
    </row>
    <row r="132" spans="1:5" x14ac:dyDescent="0.25">
      <c r="C132" t="s">
        <v>128</v>
      </c>
      <c r="E132">
        <f>MATCH(C132,Coordinates!$A$2:$A$120,0)</f>
        <v>40</v>
      </c>
    </row>
    <row r="133" spans="1:5" x14ac:dyDescent="0.25">
      <c r="C133" t="s">
        <v>129</v>
      </c>
      <c r="E133">
        <f>MATCH(C133,Coordinates!$A$2:$A$120,0)</f>
        <v>30</v>
      </c>
    </row>
    <row r="134" spans="1:5" x14ac:dyDescent="0.25">
      <c r="C134" t="s">
        <v>22</v>
      </c>
      <c r="E134">
        <f>MATCH(C134,Coordinates!$A$2:$A$120,0)</f>
        <v>106</v>
      </c>
    </row>
    <row r="135" spans="1:5" x14ac:dyDescent="0.25">
      <c r="C135" t="s">
        <v>29</v>
      </c>
      <c r="E135">
        <f>MATCH(C135,Coordinates!$A$2:$A$120,0)</f>
        <v>98</v>
      </c>
    </row>
    <row r="136" spans="1:5" x14ac:dyDescent="0.25">
      <c r="C136" t="s">
        <v>28</v>
      </c>
      <c r="E136">
        <f>MATCH(C136,Coordinates!$A$2:$A$120,0)</f>
        <v>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sheetPr codeName="Tabelle7"/>
  <dimension ref="A1:E35"/>
  <sheetViews>
    <sheetView workbookViewId="0">
      <selection activeCell="K30" sqref="K30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85</v>
      </c>
      <c r="E1" t="s">
        <v>99</v>
      </c>
    </row>
    <row r="2" spans="1:5" x14ac:dyDescent="0.25">
      <c r="A2" t="s">
        <v>165</v>
      </c>
      <c r="B2" t="s">
        <v>4</v>
      </c>
      <c r="C2" t="s">
        <v>95</v>
      </c>
      <c r="E2">
        <f>MATCH(C2,Coordinates!$A$2:$A$120,0)</f>
        <v>110</v>
      </c>
    </row>
    <row r="3" spans="1:5" x14ac:dyDescent="0.25">
      <c r="C3" t="s">
        <v>166</v>
      </c>
      <c r="E3">
        <f>MATCH(C3,Coordinates!$A$2:$A$120,0)</f>
        <v>41</v>
      </c>
    </row>
    <row r="4" spans="1:5" x14ac:dyDescent="0.25">
      <c r="C4" t="s">
        <v>167</v>
      </c>
      <c r="E4">
        <f>MATCH(C4,Coordinates!$A$2:$A$120,0)</f>
        <v>44</v>
      </c>
    </row>
    <row r="5" spans="1:5" x14ac:dyDescent="0.25">
      <c r="C5" t="s">
        <v>7</v>
      </c>
      <c r="E5">
        <f>MATCH(C5,Coordinates!$A$2:$A$120,0)</f>
        <v>87</v>
      </c>
    </row>
    <row r="6" spans="1:5" x14ac:dyDescent="0.25">
      <c r="A6" t="s">
        <v>168</v>
      </c>
      <c r="B6" t="s">
        <v>4</v>
      </c>
      <c r="C6" t="s">
        <v>95</v>
      </c>
      <c r="E6">
        <f>MATCH(C6,Coordinates!$A$2:$A$120,0)</f>
        <v>110</v>
      </c>
    </row>
    <row r="7" spans="1:5" x14ac:dyDescent="0.25">
      <c r="C7" t="s">
        <v>169</v>
      </c>
      <c r="E7" t="e">
        <f>MATCH(C7,Coordinates!$A$2:$A$120,0)</f>
        <v>#N/A</v>
      </c>
    </row>
    <row r="8" spans="1:5" x14ac:dyDescent="0.25">
      <c r="C8" t="s">
        <v>6</v>
      </c>
      <c r="E8">
        <f>MATCH(C8,Coordinates!$A$2:$A$120,0)</f>
        <v>100</v>
      </c>
    </row>
    <row r="9" spans="1:5" x14ac:dyDescent="0.25">
      <c r="A9" t="s">
        <v>170</v>
      </c>
      <c r="B9" t="s">
        <v>109</v>
      </c>
      <c r="C9" t="s">
        <v>95</v>
      </c>
      <c r="E9">
        <f>MATCH(C9,Coordinates!$A$2:$A$120,0)</f>
        <v>110</v>
      </c>
    </row>
    <row r="10" spans="1:5" x14ac:dyDescent="0.25">
      <c r="C10" t="s">
        <v>171</v>
      </c>
      <c r="E10">
        <f>MATCH(C10,Coordinates!$A$2:$A$120,0)</f>
        <v>101</v>
      </c>
    </row>
    <row r="11" spans="1:5" x14ac:dyDescent="0.25">
      <c r="C11" t="s">
        <v>172</v>
      </c>
      <c r="E11">
        <f>MATCH(C11,Coordinates!$A$2:$A$120,0)</f>
        <v>42</v>
      </c>
    </row>
    <row r="12" spans="1:5" x14ac:dyDescent="0.25">
      <c r="C12" t="s">
        <v>173</v>
      </c>
      <c r="E12">
        <f>MATCH(C12,Coordinates!$A$2:$A$120,0)</f>
        <v>43</v>
      </c>
    </row>
    <row r="13" spans="1:5" x14ac:dyDescent="0.25">
      <c r="C13" t="s">
        <v>11</v>
      </c>
      <c r="E13">
        <f>MATCH(C13,Coordinates!$A$2:$A$120,0)</f>
        <v>108</v>
      </c>
    </row>
    <row r="14" spans="1:5" x14ac:dyDescent="0.25">
      <c r="A14" t="s">
        <v>175</v>
      </c>
      <c r="B14" t="s">
        <v>4</v>
      </c>
      <c r="C14" t="s">
        <v>95</v>
      </c>
      <c r="E14">
        <f>MATCH(C14,Coordinates!$A$2:$A$120,0)</f>
        <v>110</v>
      </c>
    </row>
    <row r="15" spans="1:5" x14ac:dyDescent="0.25">
      <c r="C15" t="s">
        <v>176</v>
      </c>
      <c r="E15">
        <f>MATCH(C15,Coordinates!$A$2:$A$120,0)</f>
        <v>47</v>
      </c>
    </row>
    <row r="16" spans="1:5" x14ac:dyDescent="0.25">
      <c r="C16" t="s">
        <v>177</v>
      </c>
      <c r="E16">
        <f>MATCH(C16,Coordinates!$A$2:$A$120,0)</f>
        <v>45</v>
      </c>
    </row>
    <row r="17" spans="1:5" x14ac:dyDescent="0.25">
      <c r="C17" t="s">
        <v>147</v>
      </c>
      <c r="E17">
        <f>MATCH(C17,Coordinates!$A$2:$A$120,0)</f>
        <v>39</v>
      </c>
    </row>
    <row r="18" spans="1:5" x14ac:dyDescent="0.25">
      <c r="C18" t="s">
        <v>37</v>
      </c>
      <c r="E18">
        <f>MATCH(C18,Coordinates!$A$2:$A$120,0)</f>
        <v>7</v>
      </c>
    </row>
    <row r="19" spans="1:5" x14ac:dyDescent="0.25">
      <c r="A19" t="s">
        <v>178</v>
      </c>
      <c r="B19" t="s">
        <v>4</v>
      </c>
      <c r="C19" t="s">
        <v>95</v>
      </c>
      <c r="E19">
        <f>MATCH(C19,Coordinates!$A$2:$A$120,0)</f>
        <v>110</v>
      </c>
    </row>
    <row r="20" spans="1:5" x14ac:dyDescent="0.25">
      <c r="C20" t="s">
        <v>176</v>
      </c>
      <c r="E20">
        <f>MATCH(C20,Coordinates!$A$2:$A$120,0)</f>
        <v>47</v>
      </c>
    </row>
    <row r="21" spans="1:5" x14ac:dyDescent="0.25">
      <c r="C21" t="s">
        <v>177</v>
      </c>
      <c r="E21">
        <f>MATCH(C21,Coordinates!$A$2:$A$120,0)</f>
        <v>45</v>
      </c>
    </row>
    <row r="22" spans="1:5" x14ac:dyDescent="0.25">
      <c r="C22" t="s">
        <v>148</v>
      </c>
      <c r="E22">
        <f>MATCH(C22,Coordinates!$A$2:$A$120,0)</f>
        <v>93</v>
      </c>
    </row>
    <row r="23" spans="1:5" x14ac:dyDescent="0.25">
      <c r="C23" t="s">
        <v>43</v>
      </c>
      <c r="E23">
        <f>MATCH(C23,Coordinates!$A$2:$A$120,0)</f>
        <v>86</v>
      </c>
    </row>
    <row r="24" spans="1:5" x14ac:dyDescent="0.25">
      <c r="A24" t="s">
        <v>179</v>
      </c>
      <c r="B24" t="s">
        <v>4</v>
      </c>
      <c r="C24" t="s">
        <v>95</v>
      </c>
      <c r="E24">
        <f>MATCH(C24,Coordinates!$A$2:$A$120,0)</f>
        <v>110</v>
      </c>
    </row>
    <row r="25" spans="1:5" x14ac:dyDescent="0.25">
      <c r="C25" t="s">
        <v>176</v>
      </c>
      <c r="E25">
        <f>MATCH(C25,Coordinates!$A$2:$A$120,0)</f>
        <v>47</v>
      </c>
    </row>
    <row r="26" spans="1:5" x14ac:dyDescent="0.25">
      <c r="C26" t="s">
        <v>177</v>
      </c>
      <c r="E26">
        <f>MATCH(C26,Coordinates!$A$2:$A$120,0)</f>
        <v>45</v>
      </c>
    </row>
    <row r="27" spans="1:5" x14ac:dyDescent="0.25">
      <c r="C27" t="s">
        <v>46</v>
      </c>
      <c r="E27">
        <f>MATCH(C27,Coordinates!$A$2:$A$120,0)</f>
        <v>46</v>
      </c>
    </row>
    <row r="28" spans="1:5" x14ac:dyDescent="0.25">
      <c r="C28" t="s">
        <v>47</v>
      </c>
      <c r="E28">
        <f>MATCH(C28,Coordinates!$A$2:$A$120,0)</f>
        <v>90</v>
      </c>
    </row>
    <row r="29" spans="1:5" x14ac:dyDescent="0.25">
      <c r="A29" t="s">
        <v>180</v>
      </c>
      <c r="B29" t="s">
        <v>4</v>
      </c>
      <c r="C29" t="s">
        <v>95</v>
      </c>
      <c r="E29">
        <f>MATCH(C29,Coordinates!$A$2:$A$120,0)</f>
        <v>110</v>
      </c>
    </row>
    <row r="30" spans="1:5" x14ac:dyDescent="0.25">
      <c r="C30" t="s">
        <v>181</v>
      </c>
      <c r="E30">
        <f>MATCH(C30,Coordinates!$A$2:$A$120,0)</f>
        <v>24</v>
      </c>
    </row>
    <row r="31" spans="1:5" x14ac:dyDescent="0.25">
      <c r="C31" t="s">
        <v>182</v>
      </c>
      <c r="D31" t="s">
        <v>183</v>
      </c>
      <c r="E31">
        <f>MATCH(C31,Coordinates!$A$2:$A$120,0)</f>
        <v>25</v>
      </c>
    </row>
    <row r="32" spans="1:5" x14ac:dyDescent="0.25">
      <c r="C32" t="s">
        <v>151</v>
      </c>
      <c r="E32">
        <f>MATCH(C32,Coordinates!$A$2:$A$120,0)</f>
        <v>27</v>
      </c>
    </row>
    <row r="33" spans="2:5" x14ac:dyDescent="0.25">
      <c r="B33" s="1"/>
      <c r="C33" t="s">
        <v>152</v>
      </c>
      <c r="D33" t="s">
        <v>154</v>
      </c>
      <c r="E33">
        <f>MATCH(C33,Coordinates!$A$2:$A$120,0)</f>
        <v>28</v>
      </c>
    </row>
    <row r="34" spans="2:5" x14ac:dyDescent="0.25">
      <c r="C34" t="s">
        <v>153</v>
      </c>
      <c r="E34">
        <f>MATCH(C34,Coordinates!$A$2:$A$120,0)</f>
        <v>85</v>
      </c>
    </row>
    <row r="35" spans="2:5" x14ac:dyDescent="0.25">
      <c r="C35" t="s">
        <v>58</v>
      </c>
      <c r="E35">
        <f>MATCH(C35,Coordinates!$A$2:$A$120,0)</f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Coordinates</vt:lpstr>
      <vt:lpstr>Approaches</vt:lpstr>
      <vt:lpstr>SID 08L</vt:lpstr>
      <vt:lpstr>SID 08R</vt:lpstr>
      <vt:lpstr>SID 26L</vt:lpstr>
      <vt:lpstr>SID 26R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cp:lastPrinted>2023-02-22T12:41:37Z</cp:lastPrinted>
  <dcterms:created xsi:type="dcterms:W3CDTF">2022-08-24T13:06:31Z</dcterms:created>
  <dcterms:modified xsi:type="dcterms:W3CDTF">2023-06-10T12:50:23Z</dcterms:modified>
</cp:coreProperties>
</file>